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00. PAGAMENTOS\FOLHA GERAL\EMPRESTIMO\"/>
    </mc:Choice>
  </mc:AlternateContent>
  <xr:revisionPtr revIDLastSave="0" documentId="13_ncr:1_{89505F80-0953-437F-B031-05DD8333AE7D}" xr6:coauthVersionLast="47" xr6:coauthVersionMax="47" xr10:uidLastSave="{00000000-0000-0000-0000-000000000000}"/>
  <bookViews>
    <workbookView xWindow="-120" yWindow="-120" windowWidth="29040" windowHeight="15720" xr2:uid="{E2F17B36-78B5-4621-AFD1-9E7580020295}"/>
  </bookViews>
  <sheets>
    <sheet name="CLT" sheetId="2" r:id="rId1"/>
    <sheet name="Excluido" sheetId="4" r:id="rId2"/>
    <sheet name="COMERCIAL" sheetId="12" r:id="rId3"/>
    <sheet name="LAJEADO" sheetId="10" r:id="rId4"/>
    <sheet name="MUTINGA" sheetId="9" r:id="rId5"/>
    <sheet name="BIGOSASCO" sheetId="8" r:id="rId6"/>
    <sheet name="SAUDE" sheetId="11" r:id="rId7"/>
    <sheet name="BROOKLIN" sheetId="6" r:id="rId8"/>
    <sheet name="MATEO BEI" sheetId="7" r:id="rId9"/>
    <sheet name="RAGUEB" sheetId="5" r:id="rId10"/>
  </sheets>
  <definedNames>
    <definedName name="_xlnm._FilterDatabase" localSheetId="0" hidden="1">CLT!$A$3:$I$54</definedName>
    <definedName name="_xlnm._FilterDatabase" localSheetId="1" hidden="1">Excluido!$A$3:$J$3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2" l="1"/>
  <c r="I48" i="2" l="1"/>
  <c r="I46" i="2"/>
  <c r="I7" i="2"/>
  <c r="I25" i="2"/>
  <c r="I21" i="2"/>
  <c r="I26" i="2"/>
  <c r="I5" i="2" l="1"/>
  <c r="I39" i="2" l="1"/>
  <c r="I28" i="2"/>
  <c r="I27" i="2" l="1"/>
</calcChain>
</file>

<file path=xl/sharedStrings.xml><?xml version="1.0" encoding="utf-8"?>
<sst xmlns="http://schemas.openxmlformats.org/spreadsheetml/2006/main" count="437" uniqueCount="176">
  <si>
    <t>Descrição</t>
  </si>
  <si>
    <t>Valor</t>
  </si>
  <si>
    <t>Colaborador</t>
  </si>
  <si>
    <t>EMPRESTIMO CRÉDITO TRABALHADO</t>
  </si>
  <si>
    <t>CARLOS EDUARDO FERREIRA DE ARAUJO</t>
  </si>
  <si>
    <t>PEDRO LUCAS RICARTE PAIVA</t>
  </si>
  <si>
    <t>CLEITON SANTOS COSTA</t>
  </si>
  <si>
    <t>Matricula</t>
  </si>
  <si>
    <t xml:space="preserve">COLABORADORES </t>
  </si>
  <si>
    <t>CARGO</t>
  </si>
  <si>
    <t>LOJA</t>
  </si>
  <si>
    <t>SALÁRIO FOLHA</t>
  </si>
  <si>
    <t>SALÁRIO Á RECEBER</t>
  </si>
  <si>
    <t>DATA ADMISSÃO</t>
  </si>
  <si>
    <t>EMPRESTIMO CLT</t>
  </si>
  <si>
    <t>01-03</t>
  </si>
  <si>
    <t>ENCARREGADO DE AÇOUGUE</t>
  </si>
  <si>
    <t>RAGUEB</t>
  </si>
  <si>
    <t>03-34</t>
  </si>
  <si>
    <t>BALCONISTA DE AÇOUGUE</t>
  </si>
  <si>
    <t>BROOKLIN</t>
  </si>
  <si>
    <t>01-19</t>
  </si>
  <si>
    <t>GEAN PEREIRA SANTOS</t>
  </si>
  <si>
    <t>BALCONISTA HORTI FRUTTI</t>
  </si>
  <si>
    <t>01-07</t>
  </si>
  <si>
    <t>JOSE FERNANDO GUEIROS DA SILVA</t>
  </si>
  <si>
    <t>01-10</t>
  </si>
  <si>
    <t>KELLY MESSIAS DOS SANTOS SILVA</t>
  </si>
  <si>
    <t>BALCONISTA PADARIA</t>
  </si>
  <si>
    <t>05-19</t>
  </si>
  <si>
    <t>FOLHA</t>
  </si>
  <si>
    <t>EMPRÉSTIMO CLT - cod 157</t>
  </si>
  <si>
    <t>Inicio Desconto</t>
  </si>
  <si>
    <t>Motivo</t>
  </si>
  <si>
    <t>Faleceu  05/07/25</t>
  </si>
  <si>
    <t>Demitido 14/07/25</t>
  </si>
  <si>
    <t>04-50</t>
  </si>
  <si>
    <t>FRANCISCO ALVES AMARAL</t>
  </si>
  <si>
    <t>AÇOUGUEIRO</t>
  </si>
  <si>
    <t>BIG OSASCO</t>
  </si>
  <si>
    <t>04-02</t>
  </si>
  <si>
    <t>ANTONIO PEREIRA DOS SANTOS</t>
  </si>
  <si>
    <t>MUTINGA</t>
  </si>
  <si>
    <t>CRISPIM OLIVEIRA SILVA</t>
  </si>
  <si>
    <t>03-16</t>
  </si>
  <si>
    <t>03-45</t>
  </si>
  <si>
    <t>YAGO MARTILIANO DA SILVA</t>
  </si>
  <si>
    <t>02-40</t>
  </si>
  <si>
    <t>JOSE FRANCISCO SALES NETO</t>
  </si>
  <si>
    <t>05-42</t>
  </si>
  <si>
    <t>JOSE RICARDO DO NASCIMENTO</t>
  </si>
  <si>
    <t>RAFAEL RIBEIRO SOUSA</t>
  </si>
  <si>
    <t>01-17</t>
  </si>
  <si>
    <t>ENCARREGADO AÇOUGUE</t>
  </si>
  <si>
    <t>MATEO BEI</t>
  </si>
  <si>
    <t>01-25</t>
  </si>
  <si>
    <t>FABIO ANTONIO TAVARES</t>
  </si>
  <si>
    <t>01-14</t>
  </si>
  <si>
    <t>SARA PEREIRA DA SILVA</t>
  </si>
  <si>
    <t>BALCONISTA DE PADARIA</t>
  </si>
  <si>
    <t>Loja</t>
  </si>
  <si>
    <t>01-15</t>
  </si>
  <si>
    <t>DYENNE CICERA DE ARAUJO</t>
  </si>
  <si>
    <t>SUPERVISORA DE CAIXA</t>
  </si>
  <si>
    <t>01-13</t>
  </si>
  <si>
    <t>RODRIGO ANULINO MOREIRA</t>
  </si>
  <si>
    <t>GERENTE DE  AÇOUGUE</t>
  </si>
  <si>
    <t>151,32 + 172,43</t>
  </si>
  <si>
    <t>JOSEFA MARIA DE LIMA</t>
  </si>
  <si>
    <t>346,02+195,27+164,03                     Total R$ 705,32</t>
  </si>
  <si>
    <t>331,65 + 636,29 = TOTAL 967,94</t>
  </si>
  <si>
    <t>TAINA DE JESUS DA SILVA</t>
  </si>
  <si>
    <t>SANDRA MARIA DE SOUSA OLIVEIRA</t>
  </si>
  <si>
    <t>BALCONISTA DE FRIOS</t>
  </si>
  <si>
    <t>01-18</t>
  </si>
  <si>
    <t>MU26/0409 -</t>
  </si>
  <si>
    <t xml:space="preserve">SANDRA MARIA DE SOUSA OLIVEIRA </t>
  </si>
  <si>
    <t xml:space="preserve">FAXINEIRO </t>
  </si>
  <si>
    <t>01-08</t>
  </si>
  <si>
    <t>OPERADOR(A) DE CAIXA</t>
  </si>
  <si>
    <t>Demitido 08/25</t>
  </si>
  <si>
    <t>05-17</t>
  </si>
  <si>
    <t>DANIELA MENEZES CAMPOS DE JESUS</t>
  </si>
  <si>
    <t>BC31/0234</t>
  </si>
  <si>
    <t>ROMULO ALEXANDRE DE BRITO CORREIA</t>
  </si>
  <si>
    <t>SAMUEL DE SENA</t>
  </si>
  <si>
    <t>BALCONISTA</t>
  </si>
  <si>
    <t xml:space="preserve">OS09/0444 </t>
  </si>
  <si>
    <t xml:space="preserve">CARLOS EDUARDO ABRANCHES </t>
  </si>
  <si>
    <t xml:space="preserve">AJUDANTE DE AÇOUGUEIRO </t>
  </si>
  <si>
    <t>09/08/2021</t>
  </si>
  <si>
    <t xml:space="preserve">OS09/0507 </t>
  </si>
  <si>
    <t xml:space="preserve">RODRIGO ALVES DA SILVA </t>
  </si>
  <si>
    <t>16/04/2024</t>
  </si>
  <si>
    <t>MU26/0415 -</t>
  </si>
  <si>
    <t xml:space="preserve">JHONATAS RODRIGUES DOS SANTOS </t>
  </si>
  <si>
    <t>08/01/2025</t>
  </si>
  <si>
    <t>01-34</t>
  </si>
  <si>
    <t>VITOR HENRIQUE RODRIGUES DA SILVA</t>
  </si>
  <si>
    <t>01-27</t>
  </si>
  <si>
    <t>WANDERSON ALMEIDA DE OLIVEIRA</t>
  </si>
  <si>
    <t>SD/180439</t>
  </si>
  <si>
    <t>FERNANDO SOUZA SANTOS</t>
  </si>
  <si>
    <t>SD18/0240</t>
  </si>
  <si>
    <t>BRUNO MODESTO PASSOS</t>
  </si>
  <si>
    <t>SD18/0505</t>
  </si>
  <si>
    <t>TALITA PINHEIRO VIERA</t>
  </si>
  <si>
    <t>OPERADOR(A) DE CAIXA / SUPERV</t>
  </si>
  <si>
    <t>SD18/0514</t>
  </si>
  <si>
    <t>FRANCISCO CLEITON VIEIRA DO NASCIMENTO</t>
  </si>
  <si>
    <t>SD18/0522</t>
  </si>
  <si>
    <t>JODEILSON SILVA DIAS</t>
  </si>
  <si>
    <t>VITOR HENRIQUE</t>
  </si>
  <si>
    <t>RODRIGO DA SILVA COSTA</t>
  </si>
  <si>
    <t>LAJEADO</t>
  </si>
  <si>
    <t>BOSQUE DA SAUDE</t>
  </si>
  <si>
    <t>BOSQUE SAUDE</t>
  </si>
  <si>
    <t>REI DO GADO - BOSQUE SAUDE</t>
  </si>
  <si>
    <t>01-04</t>
  </si>
  <si>
    <t>DANIEL NASCIMENTO AMARAL</t>
  </si>
  <si>
    <t>MOTORISTA</t>
  </si>
  <si>
    <t>COMERCIAL</t>
  </si>
  <si>
    <t>LP06/0808</t>
  </si>
  <si>
    <t>JOCIENE NASCIMENTO DOS SANTOS</t>
  </si>
  <si>
    <t>FAXINEIRO</t>
  </si>
  <si>
    <t>BIG OSASCO - Lapa</t>
  </si>
  <si>
    <t>03-18</t>
  </si>
  <si>
    <t xml:space="preserve">HILDETE OLIVEIRA MARTINS </t>
  </si>
  <si>
    <t>ITAPECERICA DA SERRA</t>
  </si>
  <si>
    <t>01-09</t>
  </si>
  <si>
    <t>LUCAS GOES DA SILVA</t>
  </si>
  <si>
    <t>LP06/0939</t>
  </si>
  <si>
    <t>DIEGO FELIPE DE MACEDO LEMES</t>
  </si>
  <si>
    <t>LAPA</t>
  </si>
  <si>
    <t>LP06/0840</t>
  </si>
  <si>
    <t>DAMIAO SILVA</t>
  </si>
  <si>
    <t>LP06/0821</t>
  </si>
  <si>
    <t>SANDRO APARECIDO FERREIRA SANTOS</t>
  </si>
  <si>
    <t>LP06/0847</t>
  </si>
  <si>
    <t>EVERTON RICARDO DA SILVA</t>
  </si>
  <si>
    <t>LP06/0927</t>
  </si>
  <si>
    <t>GERSON DA SILVA SOARES</t>
  </si>
  <si>
    <t>AÇOUGUEIRO / ENCARREGADO</t>
  </si>
  <si>
    <t>LP06/0906</t>
  </si>
  <si>
    <t>ERINALDO MARTINS DA SILVA</t>
  </si>
  <si>
    <t>LP06/0926</t>
  </si>
  <si>
    <t>JOSE CARLOS HENRIQUE DO NASCIMENTO</t>
  </si>
  <si>
    <t>TB27/0445</t>
  </si>
  <si>
    <t>ANTONIO RICARDO FERREIRA DE MELO</t>
  </si>
  <si>
    <t>AÇOUGUEIRO/GERENTE</t>
  </si>
  <si>
    <t>MU26/0328 -</t>
  </si>
  <si>
    <t xml:space="preserve">SAMUEL LEITAO VIEIRA </t>
  </si>
  <si>
    <t>01/12/2020</t>
  </si>
  <si>
    <t>RG10/0515</t>
  </si>
  <si>
    <t>VIVIANE SOUZA DOS SANTOS</t>
  </si>
  <si>
    <t>RG10/0524</t>
  </si>
  <si>
    <t>ALEXIA SAYONARA SANTOS SILVA SANTANA</t>
  </si>
  <si>
    <t>RG10/0541</t>
  </si>
  <si>
    <t>LEILSON DA SILVA ALVES</t>
  </si>
  <si>
    <t>VANESSA MARTINHA DO NASCIMENTO</t>
  </si>
  <si>
    <t>SAUDE - LAJEADO</t>
  </si>
  <si>
    <t>SD18/0445</t>
  </si>
  <si>
    <t>MARIA IMACULADA DA SILVA</t>
  </si>
  <si>
    <t>SAUDE</t>
  </si>
  <si>
    <t>TB27/0433</t>
  </si>
  <si>
    <t>KAUA VICTOR SOUZA CREPALDE</t>
  </si>
  <si>
    <t>TABOAO I</t>
  </si>
  <si>
    <t>BC31/0211</t>
  </si>
  <si>
    <t>HUDSON DA COSTA SALGADO</t>
  </si>
  <si>
    <t>TABOAO - SBC</t>
  </si>
  <si>
    <t>LAPA - Big Osasco</t>
  </si>
  <si>
    <t>LP 09-40</t>
  </si>
  <si>
    <t>ZENEIDE SILVA CONCEIÇÃO</t>
  </si>
  <si>
    <t>OPERADORA DE CAIXA</t>
  </si>
  <si>
    <t>01-30</t>
  </si>
  <si>
    <t>JULIA FREITAS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</si>
</sst>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mm/yy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1"/>
      <name val="Aptos Light"/>
      <family val="2"/>
    </font>
    <font>
      <b/>
      <sz val="13"/>
      <color theme="1"/>
      <name val="Aptos"/>
      <family val="2"/>
    </font>
    <font>
      <sz val="13"/>
      <color theme="1"/>
      <name val="Aptos Narrow"/>
      <family val="2"/>
      <scheme val="minor"/>
    </font>
    <font>
      <sz val="13"/>
      <name val="Aptos Display"/>
      <family val="2"/>
    </font>
    <font>
      <sz val="13"/>
      <color theme="1"/>
      <name val="Aptos Display"/>
      <family val="2"/>
    </font>
    <font>
      <b/>
      <sz val="3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name val="Aptos Display"/>
      <family val="2"/>
    </font>
    <font>
      <sz val="14"/>
      <color theme="1"/>
      <name val="Aptos Display"/>
      <family val="2"/>
    </font>
    <font>
      <sz val="25"/>
      <color theme="1"/>
      <name val="Aptos Narrow"/>
      <family val="2"/>
      <scheme val="minor"/>
    </font>
    <font>
      <sz val="15"/>
      <name val="Aptos Display"/>
      <family val="2"/>
      <scheme val="major"/>
    </font>
    <font>
      <sz val="15"/>
      <color theme="1"/>
      <name val="Aptos Display"/>
      <family val="2"/>
      <scheme val="major"/>
    </font>
    <font>
      <sz val="18"/>
      <name val="Arial Nova"/>
      <family val="2"/>
    </font>
    <font>
      <sz val="18"/>
      <color theme="1"/>
      <name val="Arial Nova"/>
      <family val="2"/>
    </font>
    <font>
      <b/>
      <sz val="18"/>
      <name val="Arial Nova"/>
      <family val="2"/>
    </font>
    <font>
      <sz val="12"/>
      <color theme="1"/>
      <name val="Arial Nova"/>
      <family val="2"/>
    </font>
    <font>
      <b/>
      <sz val="18"/>
      <color theme="1"/>
      <name val="Arial Nova"/>
      <family val="2"/>
    </font>
    <font>
      <b/>
      <sz val="12"/>
      <color theme="1"/>
      <name val="Arial Nova"/>
      <family val="2"/>
    </font>
    <font>
      <sz val="15"/>
      <color theme="1"/>
      <name val="Arial Nova"/>
      <family val="2"/>
    </font>
    <font>
      <b/>
      <sz val="15"/>
      <color theme="1"/>
      <name val="Arial Nova"/>
      <family val="2"/>
    </font>
    <font>
      <b/>
      <sz val="15"/>
      <name val="Arial Nova"/>
      <family val="2"/>
    </font>
    <font>
      <sz val="15"/>
      <name val="Arial Nova"/>
      <family val="2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4">
    <xf numFmtId="0" fontId="0" fillId="0" borderId="0" xfId="0"/>
    <xf numFmtId="44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4" fontId="3" fillId="3" borderId="2" xfId="1" applyFont="1" applyFill="1" applyBorder="1" applyAlignment="1">
      <alignment horizontal="center" vertical="center" wrapText="1"/>
    </xf>
    <xf numFmtId="0" fontId="4" fillId="0" borderId="0" xfId="0" applyFont="1"/>
    <xf numFmtId="49" fontId="5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44" fontId="6" fillId="0" borderId="1" xfId="1" applyFont="1" applyFill="1" applyBorder="1" applyAlignment="1" applyProtection="1">
      <alignment horizontal="left"/>
    </xf>
    <xf numFmtId="44" fontId="5" fillId="4" borderId="1" xfId="1" applyFont="1" applyFill="1" applyBorder="1" applyAlignment="1">
      <alignment horizontal="left"/>
    </xf>
    <xf numFmtId="14" fontId="5" fillId="4" borderId="1" xfId="0" applyNumberFormat="1" applyFont="1" applyFill="1" applyBorder="1" applyAlignment="1">
      <alignment horizontal="center"/>
    </xf>
    <xf numFmtId="44" fontId="5" fillId="4" borderId="1" xfId="1" applyFont="1" applyFill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44" fontId="6" fillId="4" borderId="1" xfId="1" applyFont="1" applyFill="1" applyBorder="1" applyAlignment="1" applyProtection="1">
      <alignment horizontal="left"/>
    </xf>
    <xf numFmtId="14" fontId="6" fillId="4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5" fillId="5" borderId="1" xfId="0" applyFont="1" applyFill="1" applyBorder="1" applyAlignment="1">
      <alignment horizontal="left"/>
    </xf>
    <xf numFmtId="44" fontId="5" fillId="0" borderId="1" xfId="1" applyFont="1" applyFill="1" applyBorder="1" applyAlignment="1" applyProtection="1">
      <alignment horizontal="left"/>
    </xf>
    <xf numFmtId="44" fontId="5" fillId="4" borderId="1" xfId="1" applyFont="1" applyFill="1" applyBorder="1" applyAlignment="1" applyProtection="1">
      <alignment horizontal="left"/>
    </xf>
    <xf numFmtId="49" fontId="5" fillId="0" borderId="1" xfId="0" applyNumberFormat="1" applyFont="1" applyBorder="1" applyAlignment="1">
      <alignment horizontal="left"/>
    </xf>
    <xf numFmtId="0" fontId="5" fillId="0" borderId="0" xfId="0" applyFont="1"/>
    <xf numFmtId="49" fontId="9" fillId="4" borderId="1" xfId="0" applyNumberFormat="1" applyFont="1" applyFill="1" applyBorder="1" applyAlignment="1">
      <alignment horizontal="left"/>
    </xf>
    <xf numFmtId="164" fontId="9" fillId="4" borderId="1" xfId="0" applyNumberFormat="1" applyFont="1" applyFill="1" applyBorder="1" applyAlignment="1">
      <alignment horizontal="center"/>
    </xf>
    <xf numFmtId="0" fontId="9" fillId="0" borderId="0" xfId="0" applyFont="1"/>
    <xf numFmtId="0" fontId="9" fillId="0" borderId="1" xfId="0" applyFont="1" applyBorder="1"/>
    <xf numFmtId="44" fontId="9" fillId="0" borderId="1" xfId="1" applyFont="1" applyBorder="1"/>
    <xf numFmtId="0" fontId="10" fillId="0" borderId="0" xfId="0" applyFont="1"/>
    <xf numFmtId="0" fontId="10" fillId="4" borderId="1" xfId="0" applyFont="1" applyFill="1" applyBorder="1" applyAlignment="1">
      <alignment horizontal="left"/>
    </xf>
    <xf numFmtId="0" fontId="11" fillId="0" borderId="0" xfId="0" applyFont="1"/>
    <xf numFmtId="0" fontId="5" fillId="0" borderId="1" xfId="0" applyFont="1" applyBorder="1"/>
    <xf numFmtId="14" fontId="9" fillId="4" borderId="1" xfId="0" applyNumberFormat="1" applyFont="1" applyFill="1" applyBorder="1" applyAlignment="1">
      <alignment horizontal="left"/>
    </xf>
    <xf numFmtId="0" fontId="12" fillId="0" borderId="0" xfId="0" applyFont="1"/>
    <xf numFmtId="0" fontId="13" fillId="4" borderId="0" xfId="0" applyFont="1" applyFill="1"/>
    <xf numFmtId="0" fontId="18" fillId="0" borderId="3" xfId="0" applyFont="1" applyBorder="1"/>
    <xf numFmtId="0" fontId="18" fillId="0" borderId="3" xfId="0" applyFont="1" applyBorder="1" applyAlignment="1">
      <alignment horizontal="center"/>
    </xf>
    <xf numFmtId="0" fontId="18" fillId="0" borderId="8" xfId="0" applyFont="1" applyBorder="1"/>
    <xf numFmtId="0" fontId="15" fillId="4" borderId="9" xfId="0" applyFont="1" applyFill="1" applyBorder="1" applyAlignment="1">
      <alignment horizontal="left"/>
    </xf>
    <xf numFmtId="0" fontId="18" fillId="0" borderId="10" xfId="0" applyFont="1" applyBorder="1"/>
    <xf numFmtId="0" fontId="15" fillId="0" borderId="11" xfId="0" applyFont="1" applyBorder="1"/>
    <xf numFmtId="0" fontId="18" fillId="0" borderId="12" xfId="0" applyFont="1" applyBorder="1"/>
    <xf numFmtId="44" fontId="16" fillId="4" borderId="13" xfId="1" applyFont="1" applyFill="1" applyBorder="1" applyAlignment="1">
      <alignment vertical="center" wrapText="1"/>
    </xf>
    <xf numFmtId="0" fontId="15" fillId="0" borderId="0" xfId="0" applyFont="1"/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15" fillId="4" borderId="1" xfId="0" applyFont="1" applyFill="1" applyBorder="1" applyAlignment="1">
      <alignment horizontal="left"/>
    </xf>
    <xf numFmtId="0" fontId="15" fillId="0" borderId="1" xfId="0" applyFont="1" applyBorder="1"/>
    <xf numFmtId="44" fontId="18" fillId="0" borderId="1" xfId="1" applyFont="1" applyBorder="1"/>
    <xf numFmtId="0" fontId="15" fillId="0" borderId="9" xfId="0" applyFont="1" applyBorder="1"/>
    <xf numFmtId="8" fontId="18" fillId="0" borderId="13" xfId="0" applyNumberFormat="1" applyFont="1" applyBorder="1"/>
    <xf numFmtId="0" fontId="18" fillId="0" borderId="2" xfId="0" applyFont="1" applyBorder="1" applyAlignment="1">
      <alignment horizontal="center"/>
    </xf>
    <xf numFmtId="44" fontId="16" fillId="4" borderId="13" xfId="1" applyFont="1" applyFill="1" applyBorder="1" applyAlignment="1">
      <alignment horizontal="center" vertical="center" wrapText="1"/>
    </xf>
    <xf numFmtId="44" fontId="14" fillId="4" borderId="13" xfId="1" applyFont="1" applyFill="1" applyBorder="1" applyAlignment="1">
      <alignment vertical="center" wrapText="1"/>
    </xf>
    <xf numFmtId="0" fontId="17" fillId="0" borderId="0" xfId="0" applyFont="1"/>
    <xf numFmtId="0" fontId="19" fillId="0" borderId="3" xfId="0" applyFont="1" applyBorder="1"/>
    <xf numFmtId="0" fontId="19" fillId="0" borderId="8" xfId="0" applyFont="1" applyBorder="1"/>
    <xf numFmtId="0" fontId="19" fillId="0" borderId="10" xfId="0" applyFont="1" applyBorder="1"/>
    <xf numFmtId="0" fontId="19" fillId="0" borderId="12" xfId="0" applyFont="1" applyBorder="1"/>
    <xf numFmtId="0" fontId="20" fillId="0" borderId="0" xfId="0" applyFont="1"/>
    <xf numFmtId="0" fontId="21" fillId="0" borderId="3" xfId="0" applyFont="1" applyBorder="1" applyAlignment="1">
      <alignment horizontal="center"/>
    </xf>
    <xf numFmtId="0" fontId="20" fillId="0" borderId="9" xfId="0" applyFont="1" applyBorder="1"/>
    <xf numFmtId="0" fontId="20" fillId="0" borderId="11" xfId="0" applyFont="1" applyBorder="1"/>
    <xf numFmtId="8" fontId="21" fillId="0" borderId="13" xfId="0" applyNumberFormat="1" applyFont="1" applyBorder="1"/>
    <xf numFmtId="0" fontId="20" fillId="4" borderId="9" xfId="0" applyFont="1" applyFill="1" applyBorder="1" applyAlignment="1">
      <alignment horizontal="left"/>
    </xf>
    <xf numFmtId="44" fontId="22" fillId="4" borderId="13" xfId="1" applyFont="1" applyFill="1" applyBorder="1" applyAlignment="1">
      <alignment vertical="center" wrapText="1"/>
    </xf>
    <xf numFmtId="14" fontId="20" fillId="4" borderId="1" xfId="0" applyNumberFormat="1" applyFont="1" applyFill="1" applyBorder="1" applyAlignment="1">
      <alignment horizontal="left"/>
    </xf>
    <xf numFmtId="0" fontId="20" fillId="4" borderId="1" xfId="0" applyFont="1" applyFill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3" fillId="4" borderId="1" xfId="0" applyFont="1" applyFill="1" applyBorder="1" applyAlignment="1">
      <alignment horizontal="left"/>
    </xf>
    <xf numFmtId="14" fontId="20" fillId="4" borderId="1" xfId="0" applyNumberFormat="1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 vertical="center"/>
    </xf>
    <xf numFmtId="0" fontId="23" fillId="5" borderId="1" xfId="0" applyFont="1" applyFill="1" applyBorder="1" applyAlignment="1">
      <alignment horizontal="left"/>
    </xf>
    <xf numFmtId="164" fontId="23" fillId="4" borderId="1" xfId="0" applyNumberFormat="1" applyFont="1" applyFill="1" applyBorder="1" applyAlignment="1">
      <alignment horizontal="center"/>
    </xf>
    <xf numFmtId="44" fontId="20" fillId="0" borderId="1" xfId="1" applyFont="1" applyBorder="1"/>
    <xf numFmtId="0" fontId="23" fillId="0" borderId="0" xfId="0" applyFont="1"/>
    <xf numFmtId="44" fontId="23" fillId="0" borderId="1" xfId="1" applyFont="1" applyFill="1" applyBorder="1" applyAlignment="1" applyProtection="1">
      <alignment horizontal="left"/>
    </xf>
    <xf numFmtId="44" fontId="23" fillId="4" borderId="1" xfId="1" applyFont="1" applyFill="1" applyBorder="1" applyAlignment="1" applyProtection="1">
      <alignment horizontal="left"/>
    </xf>
    <xf numFmtId="14" fontId="23" fillId="4" borderId="1" xfId="0" applyNumberFormat="1" applyFont="1" applyFill="1" applyBorder="1" applyAlignment="1">
      <alignment horizontal="left"/>
    </xf>
    <xf numFmtId="44" fontId="23" fillId="4" borderId="1" xfId="1" applyFont="1" applyFill="1" applyBorder="1" applyAlignment="1">
      <alignment vertical="center" wrapText="1"/>
    </xf>
    <xf numFmtId="0" fontId="20" fillId="5" borderId="1" xfId="0" applyFont="1" applyFill="1" applyBorder="1" applyAlignment="1">
      <alignment horizontal="left"/>
    </xf>
    <xf numFmtId="44" fontId="20" fillId="4" borderId="1" xfId="1" applyFont="1" applyFill="1" applyBorder="1" applyAlignment="1"/>
    <xf numFmtId="44" fontId="20" fillId="4" borderId="1" xfId="1" applyFont="1" applyFill="1" applyBorder="1"/>
    <xf numFmtId="0" fontId="20" fillId="0" borderId="1" xfId="0" applyFont="1" applyBorder="1"/>
    <xf numFmtId="49" fontId="23" fillId="0" borderId="1" xfId="0" applyNumberFormat="1" applyFont="1" applyBorder="1" applyAlignment="1">
      <alignment horizontal="left"/>
    </xf>
    <xf numFmtId="44" fontId="23" fillId="4" borderId="1" xfId="1" applyFont="1" applyFill="1" applyBorder="1" applyAlignment="1" applyProtection="1">
      <alignment horizontal="center"/>
    </xf>
    <xf numFmtId="44" fontId="23" fillId="4" borderId="1" xfId="1" applyFont="1" applyFill="1" applyBorder="1" applyAlignment="1">
      <alignment horizontal="left"/>
    </xf>
    <xf numFmtId="0" fontId="20" fillId="4" borderId="0" xfId="0" applyFont="1" applyFill="1"/>
    <xf numFmtId="0" fontId="23" fillId="4" borderId="1" xfId="0" applyFont="1" applyFill="1" applyBorder="1" applyAlignment="1">
      <alignment horizontal="left" vertical="center"/>
    </xf>
    <xf numFmtId="0" fontId="23" fillId="0" borderId="1" xfId="0" applyFont="1" applyBorder="1"/>
    <xf numFmtId="0" fontId="23" fillId="4" borderId="1" xfId="0" applyFont="1" applyFill="1" applyBorder="1"/>
    <xf numFmtId="44" fontId="23" fillId="0" borderId="1" xfId="1" applyFont="1" applyBorder="1"/>
    <xf numFmtId="14" fontId="23" fillId="0" borderId="1" xfId="0" applyNumberFormat="1" applyFont="1" applyBorder="1" applyAlignment="1">
      <alignment horizontal="left"/>
    </xf>
    <xf numFmtId="44" fontId="20" fillId="4" borderId="1" xfId="1" applyFont="1" applyFill="1" applyBorder="1" applyAlignment="1">
      <alignment horizontal="center"/>
    </xf>
    <xf numFmtId="0" fontId="0" fillId="0" borderId="0" xfId="0" applyAlignment="1">
      <alignment horizontal="left"/>
    </xf>
    <xf numFmtId="44" fontId="2" fillId="2" borderId="2" xfId="0" applyNumberFormat="1" applyFont="1" applyFill="1" applyBorder="1" applyAlignment="1">
      <alignment horizontal="left" vertical="center" wrapText="1"/>
    </xf>
    <xf numFmtId="0" fontId="13" fillId="4" borderId="0" xfId="0" applyFont="1" applyFill="1" applyAlignment="1">
      <alignment horizontal="left"/>
    </xf>
    <xf numFmtId="0" fontId="20" fillId="7" borderId="1" xfId="0" applyFont="1" applyFill="1" applyBorder="1" applyAlignment="1">
      <alignment horizontal="left"/>
    </xf>
    <xf numFmtId="0" fontId="20" fillId="7" borderId="1" xfId="0" applyFont="1" applyFill="1" applyBorder="1"/>
    <xf numFmtId="0" fontId="23" fillId="7" borderId="1" xfId="0" applyFont="1" applyFill="1" applyBorder="1" applyAlignment="1">
      <alignment horizontal="left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4" fontId="20" fillId="0" borderId="0" xfId="1" applyFont="1"/>
    <xf numFmtId="44" fontId="24" fillId="0" borderId="0" xfId="0" applyNumberFormat="1" applyFont="1"/>
    <xf numFmtId="0" fontId="20" fillId="0" borderId="14" xfId="0" applyFont="1" applyBorder="1"/>
    <xf numFmtId="49" fontId="23" fillId="4" borderId="15" xfId="0" applyNumberFormat="1" applyFont="1" applyFill="1" applyBorder="1" applyAlignment="1">
      <alignment horizontal="left"/>
    </xf>
    <xf numFmtId="0" fontId="23" fillId="4" borderId="15" xfId="0" applyFont="1" applyFill="1" applyBorder="1" applyAlignment="1">
      <alignment horizontal="left"/>
    </xf>
    <xf numFmtId="44" fontId="23" fillId="4" borderId="15" xfId="1" applyFont="1" applyFill="1" applyBorder="1" applyAlignment="1">
      <alignment horizontal="left"/>
    </xf>
    <xf numFmtId="14" fontId="23" fillId="4" borderId="15" xfId="0" applyNumberFormat="1" applyFont="1" applyFill="1" applyBorder="1" applyAlignment="1">
      <alignment horizontal="left"/>
    </xf>
    <xf numFmtId="164" fontId="23" fillId="4" borderId="15" xfId="0" applyNumberFormat="1" applyFont="1" applyFill="1" applyBorder="1" applyAlignment="1">
      <alignment horizontal="center"/>
    </xf>
    <xf numFmtId="44" fontId="23" fillId="4" borderId="15" xfId="1" applyFont="1" applyFill="1" applyBorder="1" applyAlignment="1">
      <alignment vertical="center" wrapText="1"/>
    </xf>
    <xf numFmtId="17" fontId="20" fillId="0" borderId="1" xfId="0" applyNumberFormat="1" applyFont="1" applyBorder="1"/>
    <xf numFmtId="0" fontId="20" fillId="0" borderId="1" xfId="0" applyFont="1" applyFill="1" applyBorder="1" applyAlignment="1">
      <alignment horizontal="left"/>
    </xf>
    <xf numFmtId="14" fontId="20" fillId="0" borderId="1" xfId="0" applyNumberFormat="1" applyFont="1" applyBorder="1" applyAlignment="1">
      <alignment horizontal="left"/>
    </xf>
    <xf numFmtId="44" fontId="23" fillId="4" borderId="14" xfId="1" applyFont="1" applyFill="1" applyBorder="1" applyAlignment="1">
      <alignment horizontal="left"/>
    </xf>
    <xf numFmtId="0" fontId="0" fillId="0" borderId="0" xfId="0" applyBorder="1"/>
    <xf numFmtId="44" fontId="23" fillId="0" borderId="16" xfId="1" applyFont="1" applyBorder="1"/>
    <xf numFmtId="44" fontId="23" fillId="4" borderId="16" xfId="1" applyFont="1" applyFill="1" applyBorder="1" applyAlignment="1">
      <alignment horizontal="left"/>
    </xf>
    <xf numFmtId="44" fontId="23" fillId="4" borderId="16" xfId="1" applyFont="1" applyFill="1" applyBorder="1" applyAlignment="1" applyProtection="1">
      <alignment horizontal="left"/>
    </xf>
    <xf numFmtId="49" fontId="23" fillId="4" borderId="17" xfId="0" applyNumberFormat="1" applyFont="1" applyFill="1" applyBorder="1" applyAlignment="1">
      <alignment horizontal="left"/>
    </xf>
    <xf numFmtId="0" fontId="23" fillId="4" borderId="17" xfId="0" applyFont="1" applyFill="1" applyBorder="1" applyAlignment="1">
      <alignment horizontal="left"/>
    </xf>
    <xf numFmtId="44" fontId="23" fillId="4" borderId="17" xfId="1" applyFont="1" applyFill="1" applyBorder="1" applyAlignment="1" applyProtection="1">
      <alignment horizontal="left"/>
    </xf>
    <xf numFmtId="14" fontId="23" fillId="4" borderId="17" xfId="0" applyNumberFormat="1" applyFont="1" applyFill="1" applyBorder="1" applyAlignment="1">
      <alignment horizontal="left"/>
    </xf>
    <xf numFmtId="164" fontId="23" fillId="4" borderId="17" xfId="0" applyNumberFormat="1" applyFont="1" applyFill="1" applyBorder="1" applyAlignment="1">
      <alignment horizontal="center"/>
    </xf>
    <xf numFmtId="44" fontId="23" fillId="4" borderId="17" xfId="1" applyFont="1" applyFill="1" applyBorder="1" applyAlignment="1">
      <alignment vertical="center" wrapText="1"/>
    </xf>
    <xf numFmtId="0" fontId="20" fillId="4" borderId="15" xfId="0" applyFont="1" applyFill="1" applyBorder="1" applyAlignment="1">
      <alignment horizontal="left"/>
    </xf>
    <xf numFmtId="14" fontId="20" fillId="4" borderId="15" xfId="0" applyNumberFormat="1" applyFont="1" applyFill="1" applyBorder="1" applyAlignment="1">
      <alignment horizontal="left"/>
    </xf>
    <xf numFmtId="44" fontId="20" fillId="4" borderId="15" xfId="1" applyFont="1" applyFill="1" applyBorder="1"/>
    <xf numFmtId="44" fontId="25" fillId="6" borderId="3" xfId="0" applyNumberFormat="1" applyFont="1" applyFill="1" applyBorder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C7CF-B8BB-48B1-BF6F-99DF8DC5A007}">
  <sheetPr>
    <pageSetUpPr fitToPage="1"/>
  </sheetPr>
  <dimension ref="A1:P60"/>
  <sheetViews>
    <sheetView tabSelected="1" topLeftCell="A46" zoomScale="70" zoomScaleNormal="70" workbookViewId="0">
      <selection activeCell="K61" sqref="K61"/>
    </sheetView>
  </sheetViews>
  <sheetFormatPr defaultRowHeight="15" x14ac:dyDescent="0.25"/>
  <cols>
    <col min="1" max="1" width="9.5703125" customWidth="1"/>
    <col min="2" max="2" width="66.7109375" bestFit="1" customWidth="1"/>
    <col min="3" max="3" width="49.28515625" bestFit="1" customWidth="1"/>
    <col min="4" max="4" width="45.7109375" bestFit="1" customWidth="1"/>
    <col min="5" max="5" width="19.28515625" hidden="1" customWidth="1"/>
    <col min="6" max="6" width="21" bestFit="1" customWidth="1"/>
    <col min="7" max="7" width="21.140625" style="96" bestFit="1" customWidth="1"/>
    <col min="8" max="8" width="19.85546875" bestFit="1" customWidth="1"/>
    <col min="9" max="9" width="30.140625" customWidth="1"/>
    <col min="14" max="14" width="21" bestFit="1" customWidth="1"/>
    <col min="15" max="15" width="15.85546875" bestFit="1" customWidth="1"/>
    <col min="18" max="18" width="19.5703125" customWidth="1"/>
  </cols>
  <sheetData>
    <row r="1" spans="1:16" ht="34.5" customHeight="1" thickBot="1" x14ac:dyDescent="0.3">
      <c r="A1" s="102" t="s">
        <v>31</v>
      </c>
      <c r="B1" s="103"/>
      <c r="C1" s="103"/>
      <c r="D1" s="103"/>
      <c r="E1" s="103"/>
      <c r="F1" s="103"/>
      <c r="G1" s="103"/>
      <c r="H1" s="103"/>
      <c r="I1" s="104"/>
    </row>
    <row r="2" spans="1:16" ht="5.25" customHeight="1" thickBot="1" x14ac:dyDescent="0.3"/>
    <row r="3" spans="1:16" s="4" customFormat="1" ht="81" customHeight="1" x14ac:dyDescent="0.3">
      <c r="A3" s="1" t="s">
        <v>7</v>
      </c>
      <c r="B3" s="2" t="s">
        <v>8</v>
      </c>
      <c r="C3" s="2" t="s">
        <v>9</v>
      </c>
      <c r="D3" s="1" t="s">
        <v>10</v>
      </c>
      <c r="E3" s="2" t="s">
        <v>11</v>
      </c>
      <c r="F3" s="2" t="s">
        <v>12</v>
      </c>
      <c r="G3" s="97" t="s">
        <v>13</v>
      </c>
      <c r="H3" s="1" t="s">
        <v>32</v>
      </c>
      <c r="I3" s="3" t="s">
        <v>14</v>
      </c>
      <c r="N3" s="107"/>
      <c r="O3" s="59"/>
      <c r="P3" s="59"/>
    </row>
    <row r="4" spans="1:16" s="77" customFormat="1" ht="30" customHeight="1" x14ac:dyDescent="0.3">
      <c r="A4" s="67" t="s">
        <v>134</v>
      </c>
      <c r="B4" s="67" t="s">
        <v>135</v>
      </c>
      <c r="C4" s="72" t="s">
        <v>38</v>
      </c>
      <c r="D4" s="67" t="s">
        <v>133</v>
      </c>
      <c r="E4" s="85"/>
      <c r="F4" s="88">
        <v>3350</v>
      </c>
      <c r="G4" s="66">
        <v>44371</v>
      </c>
      <c r="H4" s="75">
        <v>45962</v>
      </c>
      <c r="I4" s="83">
        <v>493.61</v>
      </c>
      <c r="N4" s="107"/>
      <c r="O4" s="59"/>
      <c r="P4" s="59"/>
    </row>
    <row r="5" spans="1:16" s="59" customFormat="1" ht="30" customHeight="1" x14ac:dyDescent="0.3">
      <c r="A5" s="73" t="s">
        <v>91</v>
      </c>
      <c r="B5" s="67" t="s">
        <v>92</v>
      </c>
      <c r="C5" s="67" t="s">
        <v>19</v>
      </c>
      <c r="D5" s="74" t="s">
        <v>39</v>
      </c>
      <c r="E5" s="88">
        <v>1970</v>
      </c>
      <c r="F5" s="88">
        <v>2650</v>
      </c>
      <c r="G5" s="66" t="s">
        <v>93</v>
      </c>
      <c r="H5" s="75">
        <v>45962</v>
      </c>
      <c r="I5" s="76">
        <f>188.05+193.65</f>
        <v>381.70000000000005</v>
      </c>
      <c r="N5" s="107"/>
    </row>
    <row r="6" spans="1:16" s="59" customFormat="1" ht="30" customHeight="1" x14ac:dyDescent="0.3">
      <c r="A6" s="73" t="s">
        <v>87</v>
      </c>
      <c r="B6" s="67" t="s">
        <v>88</v>
      </c>
      <c r="C6" s="67" t="s">
        <v>89</v>
      </c>
      <c r="D6" s="74" t="s">
        <v>39</v>
      </c>
      <c r="E6" s="88">
        <v>1970</v>
      </c>
      <c r="F6" s="88">
        <v>2350</v>
      </c>
      <c r="G6" s="66" t="s">
        <v>90</v>
      </c>
      <c r="H6" s="75">
        <v>45962</v>
      </c>
      <c r="I6" s="76">
        <v>440</v>
      </c>
      <c r="N6" s="107"/>
    </row>
    <row r="7" spans="1:16" s="77" customFormat="1" ht="30" customHeight="1" x14ac:dyDescent="0.3">
      <c r="A7" s="67" t="s">
        <v>153</v>
      </c>
      <c r="B7" s="67" t="s">
        <v>154</v>
      </c>
      <c r="C7" s="72" t="s">
        <v>38</v>
      </c>
      <c r="D7" s="82" t="s">
        <v>117</v>
      </c>
      <c r="E7" s="85"/>
      <c r="F7" s="88">
        <v>2600</v>
      </c>
      <c r="G7" s="66">
        <v>44845</v>
      </c>
      <c r="H7" s="75">
        <v>45962</v>
      </c>
      <c r="I7" s="83">
        <f>322.8+230.12</f>
        <v>552.92000000000007</v>
      </c>
      <c r="N7" s="107"/>
      <c r="O7" s="59"/>
      <c r="P7" s="59"/>
    </row>
    <row r="8" spans="1:16" s="77" customFormat="1" ht="30" customHeight="1" x14ac:dyDescent="0.3">
      <c r="A8" s="71" t="s">
        <v>103</v>
      </c>
      <c r="B8" s="67" t="s">
        <v>104</v>
      </c>
      <c r="C8" s="67" t="s">
        <v>66</v>
      </c>
      <c r="D8" s="67" t="s">
        <v>116</v>
      </c>
      <c r="E8" s="88">
        <v>5000</v>
      </c>
      <c r="F8" s="88">
        <v>5000</v>
      </c>
      <c r="G8" s="66">
        <v>41138</v>
      </c>
      <c r="H8" s="75">
        <v>45962</v>
      </c>
      <c r="I8" s="84">
        <v>383.02</v>
      </c>
      <c r="J8" s="59"/>
      <c r="K8" s="59"/>
      <c r="L8" s="59"/>
      <c r="M8" s="59"/>
      <c r="N8" s="107"/>
    </row>
    <row r="9" spans="1:16" s="77" customFormat="1" ht="30" customHeight="1" x14ac:dyDescent="0.3">
      <c r="A9" s="71" t="s">
        <v>101</v>
      </c>
      <c r="B9" s="67" t="s">
        <v>102</v>
      </c>
      <c r="C9" s="67" t="s">
        <v>38</v>
      </c>
      <c r="D9" s="67" t="s">
        <v>116</v>
      </c>
      <c r="E9" s="88">
        <v>3000</v>
      </c>
      <c r="F9" s="88">
        <v>3000</v>
      </c>
      <c r="G9" s="66">
        <v>44391</v>
      </c>
      <c r="H9" s="75">
        <v>45962</v>
      </c>
      <c r="I9" s="84">
        <v>309</v>
      </c>
      <c r="J9" s="59"/>
      <c r="K9" s="59"/>
      <c r="L9" s="59"/>
      <c r="M9" s="59"/>
      <c r="N9" s="107"/>
      <c r="O9" s="59"/>
      <c r="P9" s="59"/>
    </row>
    <row r="10" spans="1:16" s="77" customFormat="1" ht="30" customHeight="1" x14ac:dyDescent="0.3">
      <c r="A10" s="71" t="s">
        <v>108</v>
      </c>
      <c r="B10" s="67" t="s">
        <v>109</v>
      </c>
      <c r="C10" s="67" t="s">
        <v>89</v>
      </c>
      <c r="D10" s="67" t="s">
        <v>116</v>
      </c>
      <c r="E10" s="88">
        <v>2600</v>
      </c>
      <c r="F10" s="88">
        <v>2600</v>
      </c>
      <c r="G10" s="66">
        <v>45230</v>
      </c>
      <c r="H10" s="75">
        <v>45962</v>
      </c>
      <c r="I10" s="84">
        <v>454.07</v>
      </c>
      <c r="J10" s="59"/>
      <c r="K10" s="59"/>
      <c r="L10" s="59"/>
      <c r="M10" s="59"/>
      <c r="N10" s="107"/>
      <c r="O10" s="59"/>
      <c r="P10" s="59"/>
    </row>
    <row r="11" spans="1:16" s="77" customFormat="1" ht="30" customHeight="1" x14ac:dyDescent="0.3">
      <c r="A11" s="86" t="s">
        <v>29</v>
      </c>
      <c r="B11" s="68" t="s">
        <v>5</v>
      </c>
      <c r="C11" s="69" t="s">
        <v>19</v>
      </c>
      <c r="D11" s="74" t="s">
        <v>20</v>
      </c>
      <c r="E11" s="78">
        <v>2029</v>
      </c>
      <c r="F11" s="87" t="s">
        <v>30</v>
      </c>
      <c r="G11" s="80">
        <v>44608</v>
      </c>
      <c r="H11" s="75">
        <v>45809</v>
      </c>
      <c r="I11" s="81">
        <v>292.77</v>
      </c>
      <c r="N11" s="107"/>
      <c r="O11" s="59"/>
      <c r="P11" s="59"/>
    </row>
    <row r="12" spans="1:16" s="77" customFormat="1" ht="30" customHeight="1" x14ac:dyDescent="0.3">
      <c r="A12" s="71" t="s">
        <v>47</v>
      </c>
      <c r="B12" s="69" t="s">
        <v>48</v>
      </c>
      <c r="C12" s="69" t="s">
        <v>19</v>
      </c>
      <c r="D12" s="74" t="s">
        <v>20</v>
      </c>
      <c r="E12" s="78">
        <v>2029</v>
      </c>
      <c r="F12" s="79">
        <v>3416</v>
      </c>
      <c r="G12" s="80">
        <v>40452</v>
      </c>
      <c r="H12" s="75">
        <v>45839</v>
      </c>
      <c r="I12" s="81">
        <v>598.15</v>
      </c>
      <c r="N12" s="107"/>
      <c r="O12" s="59"/>
      <c r="P12" s="59"/>
    </row>
    <row r="13" spans="1:16" s="77" customFormat="1" ht="30" customHeight="1" x14ac:dyDescent="0.3">
      <c r="A13" s="71" t="s">
        <v>49</v>
      </c>
      <c r="B13" s="69" t="s">
        <v>50</v>
      </c>
      <c r="C13" s="69" t="s">
        <v>38</v>
      </c>
      <c r="D13" s="74" t="s">
        <v>20</v>
      </c>
      <c r="E13" s="78">
        <v>2029</v>
      </c>
      <c r="F13" s="79">
        <v>2800</v>
      </c>
      <c r="G13" s="80">
        <v>45763</v>
      </c>
      <c r="H13" s="75">
        <v>45839</v>
      </c>
      <c r="I13" s="81">
        <v>133.91</v>
      </c>
      <c r="N13" s="107"/>
      <c r="O13" s="59"/>
      <c r="P13" s="59"/>
    </row>
    <row r="14" spans="1:16" s="77" customFormat="1" ht="30" customHeight="1" x14ac:dyDescent="0.3">
      <c r="A14" s="71" t="s">
        <v>81</v>
      </c>
      <c r="B14" s="69" t="s">
        <v>82</v>
      </c>
      <c r="C14" s="69" t="s">
        <v>19</v>
      </c>
      <c r="D14" s="74" t="s">
        <v>20</v>
      </c>
      <c r="E14" s="76">
        <v>2029</v>
      </c>
      <c r="F14" s="76">
        <v>2029</v>
      </c>
      <c r="G14" s="72"/>
      <c r="H14" s="75">
        <v>45962</v>
      </c>
      <c r="I14" s="76">
        <v>646.59</v>
      </c>
      <c r="N14" s="107"/>
    </row>
    <row r="15" spans="1:16" s="77" customFormat="1" ht="30" customHeight="1" x14ac:dyDescent="0.3">
      <c r="A15" s="71" t="s">
        <v>118</v>
      </c>
      <c r="B15" s="69" t="s">
        <v>119</v>
      </c>
      <c r="C15" s="72" t="s">
        <v>120</v>
      </c>
      <c r="D15" s="69" t="s">
        <v>121</v>
      </c>
      <c r="E15" s="88">
        <v>2180</v>
      </c>
      <c r="F15" s="95">
        <v>4000</v>
      </c>
      <c r="G15" s="66">
        <v>45272</v>
      </c>
      <c r="H15" s="75">
        <v>45962</v>
      </c>
      <c r="I15" s="84">
        <v>368.96</v>
      </c>
      <c r="N15" s="107"/>
    </row>
    <row r="16" spans="1:16" s="77" customFormat="1" ht="30" customHeight="1" x14ac:dyDescent="0.3">
      <c r="A16" s="68" t="s">
        <v>126</v>
      </c>
      <c r="B16" s="67" t="s">
        <v>127</v>
      </c>
      <c r="C16" s="67" t="s">
        <v>79</v>
      </c>
      <c r="D16" s="69" t="s">
        <v>128</v>
      </c>
      <c r="E16" s="88">
        <v>2000</v>
      </c>
      <c r="F16" s="70">
        <v>2000</v>
      </c>
      <c r="G16" s="66">
        <v>45622</v>
      </c>
      <c r="H16" s="75">
        <v>45962</v>
      </c>
      <c r="I16" s="84">
        <v>417.45</v>
      </c>
      <c r="N16" s="59"/>
    </row>
    <row r="17" spans="1:16" s="77" customFormat="1" ht="30" customHeight="1" x14ac:dyDescent="0.3">
      <c r="A17" s="71" t="s">
        <v>57</v>
      </c>
      <c r="B17" s="67" t="s">
        <v>113</v>
      </c>
      <c r="C17" s="72" t="s">
        <v>38</v>
      </c>
      <c r="D17" s="99" t="s">
        <v>114</v>
      </c>
      <c r="E17" s="79">
        <v>2180</v>
      </c>
      <c r="F17" s="88">
        <v>3000</v>
      </c>
      <c r="G17" s="66">
        <v>45368</v>
      </c>
      <c r="H17" s="75">
        <v>45962</v>
      </c>
      <c r="I17" s="84">
        <v>530.79999999999995</v>
      </c>
      <c r="N17" s="107"/>
      <c r="P17" s="59"/>
    </row>
    <row r="18" spans="1:16" s="77" customFormat="1" ht="30" customHeight="1" x14ac:dyDescent="0.3">
      <c r="A18" s="71" t="s">
        <v>129</v>
      </c>
      <c r="B18" s="67" t="s">
        <v>130</v>
      </c>
      <c r="C18" s="72" t="s">
        <v>38</v>
      </c>
      <c r="D18" s="99" t="s">
        <v>114</v>
      </c>
      <c r="E18" s="79">
        <v>2180</v>
      </c>
      <c r="F18" s="88">
        <v>3000</v>
      </c>
      <c r="G18" s="66">
        <v>45362</v>
      </c>
      <c r="H18" s="75">
        <v>45962</v>
      </c>
      <c r="I18" s="84">
        <v>605.45000000000005</v>
      </c>
      <c r="N18" s="4"/>
      <c r="O18" s="33"/>
      <c r="P18"/>
    </row>
    <row r="19" spans="1:16" s="77" customFormat="1" ht="30" customHeight="1" x14ac:dyDescent="0.3">
      <c r="A19" s="67" t="s">
        <v>131</v>
      </c>
      <c r="B19" s="67" t="s">
        <v>132</v>
      </c>
      <c r="C19" s="72" t="s">
        <v>38</v>
      </c>
      <c r="D19" s="67" t="s">
        <v>133</v>
      </c>
      <c r="E19" s="85"/>
      <c r="F19" s="88">
        <v>3100</v>
      </c>
      <c r="G19" s="66">
        <v>45671</v>
      </c>
      <c r="H19" s="75">
        <v>45962</v>
      </c>
      <c r="I19" s="83">
        <v>121.64</v>
      </c>
      <c r="N19"/>
      <c r="O19"/>
      <c r="P19"/>
    </row>
    <row r="20" spans="1:16" s="77" customFormat="1" ht="30" customHeight="1" x14ac:dyDescent="0.3">
      <c r="A20" s="67" t="s">
        <v>143</v>
      </c>
      <c r="B20" s="67" t="s">
        <v>144</v>
      </c>
      <c r="C20" s="72" t="s">
        <v>38</v>
      </c>
      <c r="D20" s="67" t="s">
        <v>133</v>
      </c>
      <c r="E20" s="85"/>
      <c r="F20" s="88">
        <v>3300</v>
      </c>
      <c r="G20" s="66">
        <v>44775</v>
      </c>
      <c r="H20" s="75">
        <v>45962</v>
      </c>
      <c r="I20" s="83">
        <v>636.21</v>
      </c>
      <c r="N20"/>
      <c r="O20"/>
      <c r="P20"/>
    </row>
    <row r="21" spans="1:16" s="77" customFormat="1" ht="30" customHeight="1" x14ac:dyDescent="0.3">
      <c r="A21" s="67" t="s">
        <v>138</v>
      </c>
      <c r="B21" s="67" t="s">
        <v>139</v>
      </c>
      <c r="C21" s="67" t="s">
        <v>86</v>
      </c>
      <c r="D21" s="67" t="s">
        <v>133</v>
      </c>
      <c r="E21" s="85"/>
      <c r="F21" s="88">
        <v>2800</v>
      </c>
      <c r="G21" s="66">
        <v>44587</v>
      </c>
      <c r="H21" s="75">
        <v>45962</v>
      </c>
      <c r="I21" s="83">
        <f>442.27+78.11+85.37</f>
        <v>605.75</v>
      </c>
      <c r="N21"/>
      <c r="O21"/>
      <c r="P21"/>
    </row>
    <row r="22" spans="1:16" s="77" customFormat="1" ht="30" customHeight="1" x14ac:dyDescent="0.3">
      <c r="A22" s="71" t="s">
        <v>36</v>
      </c>
      <c r="B22" s="69" t="s">
        <v>37</v>
      </c>
      <c r="C22" s="69" t="s">
        <v>38</v>
      </c>
      <c r="D22" s="74" t="s">
        <v>125</v>
      </c>
      <c r="E22" s="78">
        <v>1970</v>
      </c>
      <c r="F22" s="79">
        <v>2800</v>
      </c>
      <c r="G22" s="80"/>
      <c r="H22" s="75">
        <v>45839</v>
      </c>
      <c r="I22" s="81">
        <v>632.15</v>
      </c>
      <c r="N22" s="108"/>
      <c r="O22"/>
      <c r="P22"/>
    </row>
    <row r="23" spans="1:16" s="77" customFormat="1" ht="30" customHeight="1" x14ac:dyDescent="0.3">
      <c r="A23" s="67" t="s">
        <v>140</v>
      </c>
      <c r="B23" s="67" t="s">
        <v>141</v>
      </c>
      <c r="C23" s="72" t="s">
        <v>89</v>
      </c>
      <c r="D23" s="67" t="s">
        <v>133</v>
      </c>
      <c r="E23" s="109"/>
      <c r="F23" s="88">
        <v>2600</v>
      </c>
      <c r="G23" s="66">
        <v>45365</v>
      </c>
      <c r="H23" s="75">
        <v>45962</v>
      </c>
      <c r="I23" s="83">
        <v>625.24</v>
      </c>
      <c r="N23"/>
      <c r="O23"/>
      <c r="P23"/>
    </row>
    <row r="24" spans="1:16" s="59" customFormat="1" ht="30" customHeight="1" x14ac:dyDescent="0.3">
      <c r="A24" s="67" t="s">
        <v>122</v>
      </c>
      <c r="B24" s="67" t="s">
        <v>123</v>
      </c>
      <c r="C24" s="67" t="s">
        <v>124</v>
      </c>
      <c r="D24" s="100" t="s">
        <v>170</v>
      </c>
      <c r="E24" s="119">
        <v>2000</v>
      </c>
      <c r="F24" s="95">
        <v>2000</v>
      </c>
      <c r="G24" s="66">
        <v>43577</v>
      </c>
      <c r="H24" s="75">
        <v>45962</v>
      </c>
      <c r="I24" s="84">
        <v>280.37</v>
      </c>
    </row>
    <row r="25" spans="1:16" s="77" customFormat="1" ht="30" customHeight="1" x14ac:dyDescent="0.3">
      <c r="A25" s="67" t="s">
        <v>145</v>
      </c>
      <c r="B25" s="67" t="s">
        <v>146</v>
      </c>
      <c r="C25" s="72" t="s">
        <v>38</v>
      </c>
      <c r="D25" s="67" t="s">
        <v>133</v>
      </c>
      <c r="E25" s="109"/>
      <c r="F25" s="88">
        <v>3000</v>
      </c>
      <c r="G25" s="66">
        <v>45182</v>
      </c>
      <c r="H25" s="75">
        <v>45962</v>
      </c>
      <c r="I25" s="83">
        <f>169.15+256.9+137.53+86.99</f>
        <v>650.56999999999994</v>
      </c>
    </row>
    <row r="26" spans="1:16" s="77" customFormat="1" ht="30" customHeight="1" x14ac:dyDescent="0.3">
      <c r="A26" s="67" t="s">
        <v>136</v>
      </c>
      <c r="B26" s="67" t="s">
        <v>137</v>
      </c>
      <c r="C26" s="72" t="s">
        <v>38</v>
      </c>
      <c r="D26" s="67" t="s">
        <v>133</v>
      </c>
      <c r="E26" s="109"/>
      <c r="F26" s="88">
        <v>3000</v>
      </c>
      <c r="G26" s="66">
        <v>43740</v>
      </c>
      <c r="H26" s="75">
        <v>45962</v>
      </c>
      <c r="I26" s="83">
        <f>148.08+105.72+105.67+84.06+84.03+16.46</f>
        <v>544.0200000000001</v>
      </c>
    </row>
    <row r="27" spans="1:16" s="77" customFormat="1" ht="30" customHeight="1" x14ac:dyDescent="0.3">
      <c r="A27" s="110" t="s">
        <v>24</v>
      </c>
      <c r="B27" s="111" t="s">
        <v>25</v>
      </c>
      <c r="C27" s="111" t="s">
        <v>19</v>
      </c>
      <c r="D27" s="111" t="s">
        <v>54</v>
      </c>
      <c r="E27" s="78">
        <v>2029</v>
      </c>
      <c r="F27" s="112">
        <v>2400</v>
      </c>
      <c r="G27" s="113">
        <v>45341</v>
      </c>
      <c r="H27" s="114">
        <v>45809</v>
      </c>
      <c r="I27" s="115">
        <f>151.32+172.43</f>
        <v>323.75</v>
      </c>
    </row>
    <row r="28" spans="1:16" s="89" customFormat="1" ht="30" customHeight="1" x14ac:dyDescent="0.3">
      <c r="A28" s="71" t="s">
        <v>52</v>
      </c>
      <c r="B28" s="69" t="s">
        <v>51</v>
      </c>
      <c r="C28" s="69" t="s">
        <v>53</v>
      </c>
      <c r="D28" s="69" t="s">
        <v>54</v>
      </c>
      <c r="E28" s="78">
        <v>2889.1</v>
      </c>
      <c r="F28" s="79">
        <v>3800</v>
      </c>
      <c r="G28" s="80">
        <v>45707</v>
      </c>
      <c r="H28" s="75">
        <v>45839</v>
      </c>
      <c r="I28" s="81">
        <f>331.65+636.29</f>
        <v>967.93999999999994</v>
      </c>
    </row>
    <row r="29" spans="1:16" s="89" customFormat="1" ht="30" customHeight="1" x14ac:dyDescent="0.3">
      <c r="A29" s="71" t="s">
        <v>74</v>
      </c>
      <c r="B29" s="69" t="s">
        <v>71</v>
      </c>
      <c r="C29" s="69" t="s">
        <v>73</v>
      </c>
      <c r="D29" s="69" t="s">
        <v>54</v>
      </c>
      <c r="E29" s="78">
        <v>2029</v>
      </c>
      <c r="F29" s="79">
        <v>1950</v>
      </c>
      <c r="G29" s="80">
        <v>45341</v>
      </c>
      <c r="H29" s="75">
        <v>45901</v>
      </c>
      <c r="I29" s="81">
        <v>718.83</v>
      </c>
    </row>
    <row r="30" spans="1:16" s="89" customFormat="1" ht="30" customHeight="1" x14ac:dyDescent="0.3">
      <c r="A30" s="71" t="s">
        <v>147</v>
      </c>
      <c r="B30" s="67" t="s">
        <v>148</v>
      </c>
      <c r="C30" s="67" t="s">
        <v>149</v>
      </c>
      <c r="D30" s="67" t="s">
        <v>54</v>
      </c>
      <c r="E30" s="76">
        <v>2180</v>
      </c>
      <c r="F30" s="88">
        <v>5000</v>
      </c>
      <c r="G30" s="66">
        <v>45414</v>
      </c>
      <c r="H30" s="75">
        <v>45962</v>
      </c>
      <c r="I30" s="84">
        <v>539.33000000000004</v>
      </c>
    </row>
    <row r="31" spans="1:16" s="89" customFormat="1" ht="30" customHeight="1" x14ac:dyDescent="0.3">
      <c r="A31" s="71" t="s">
        <v>40</v>
      </c>
      <c r="B31" s="69" t="s">
        <v>41</v>
      </c>
      <c r="C31" s="69" t="s">
        <v>38</v>
      </c>
      <c r="D31" s="74" t="s">
        <v>42</v>
      </c>
      <c r="E31" s="78">
        <v>1970</v>
      </c>
      <c r="F31" s="79">
        <v>3600</v>
      </c>
      <c r="G31" s="80">
        <v>45261</v>
      </c>
      <c r="H31" s="75">
        <v>45839</v>
      </c>
      <c r="I31" s="81">
        <v>125.24</v>
      </c>
    </row>
    <row r="32" spans="1:16" s="89" customFormat="1" ht="30" customHeight="1" x14ac:dyDescent="0.3">
      <c r="A32" s="71" t="s">
        <v>44</v>
      </c>
      <c r="B32" s="69" t="s">
        <v>43</v>
      </c>
      <c r="C32" s="69" t="s">
        <v>38</v>
      </c>
      <c r="D32" s="74" t="s">
        <v>42</v>
      </c>
      <c r="E32" s="78">
        <v>1970</v>
      </c>
      <c r="F32" s="79">
        <v>3150</v>
      </c>
      <c r="G32" s="80">
        <v>43922</v>
      </c>
      <c r="H32" s="75">
        <v>45839</v>
      </c>
      <c r="I32" s="81">
        <v>675.97</v>
      </c>
    </row>
    <row r="33" spans="1:14" s="89" customFormat="1" ht="30" customHeight="1" x14ac:dyDescent="0.3">
      <c r="A33" s="90" t="s">
        <v>75</v>
      </c>
      <c r="B33" s="67" t="s">
        <v>76</v>
      </c>
      <c r="C33" s="67" t="s">
        <v>77</v>
      </c>
      <c r="D33" s="74" t="s">
        <v>42</v>
      </c>
      <c r="E33" s="78">
        <v>1970</v>
      </c>
      <c r="F33" s="79">
        <v>1900</v>
      </c>
      <c r="G33" s="80">
        <v>44166</v>
      </c>
      <c r="H33" s="75">
        <v>45839</v>
      </c>
      <c r="I33" s="81">
        <v>272.31</v>
      </c>
    </row>
    <row r="34" spans="1:14" s="89" customFormat="1" ht="30" customHeight="1" x14ac:dyDescent="0.3">
      <c r="A34" s="71" t="s">
        <v>45</v>
      </c>
      <c r="B34" s="69" t="s">
        <v>46</v>
      </c>
      <c r="C34" s="69" t="s">
        <v>38</v>
      </c>
      <c r="D34" s="74" t="s">
        <v>42</v>
      </c>
      <c r="E34" s="78">
        <v>1970</v>
      </c>
      <c r="F34" s="79">
        <v>2800</v>
      </c>
      <c r="G34" s="80">
        <v>44930</v>
      </c>
      <c r="H34" s="75">
        <v>45839</v>
      </c>
      <c r="I34" s="81">
        <v>631.07000000000005</v>
      </c>
    </row>
    <row r="35" spans="1:14" s="89" customFormat="1" ht="30" customHeight="1" x14ac:dyDescent="0.3">
      <c r="A35" s="71" t="s">
        <v>83</v>
      </c>
      <c r="B35" s="69" t="s">
        <v>84</v>
      </c>
      <c r="C35" s="67" t="s">
        <v>66</v>
      </c>
      <c r="D35" s="74" t="s">
        <v>42</v>
      </c>
      <c r="E35" s="78">
        <v>2000</v>
      </c>
      <c r="F35" s="79">
        <v>2000</v>
      </c>
      <c r="G35" s="80"/>
      <c r="H35" s="75">
        <v>45901</v>
      </c>
      <c r="I35" s="81">
        <v>451.17</v>
      </c>
    </row>
    <row r="36" spans="1:14" s="59" customFormat="1" ht="30" customHeight="1" x14ac:dyDescent="0.3">
      <c r="A36" s="73" t="s">
        <v>94</v>
      </c>
      <c r="B36" s="67" t="s">
        <v>95</v>
      </c>
      <c r="C36" s="72" t="s">
        <v>89</v>
      </c>
      <c r="D36" s="82" t="s">
        <v>42</v>
      </c>
      <c r="E36" s="88">
        <v>1970</v>
      </c>
      <c r="F36" s="88">
        <v>2100</v>
      </c>
      <c r="G36" s="66" t="s">
        <v>96</v>
      </c>
      <c r="H36" s="75">
        <v>45962</v>
      </c>
      <c r="I36" s="81">
        <v>424.85</v>
      </c>
    </row>
    <row r="37" spans="1:14" s="59" customFormat="1" ht="30" customHeight="1" x14ac:dyDescent="0.3">
      <c r="A37" s="73" t="s">
        <v>150</v>
      </c>
      <c r="B37" s="67" t="s">
        <v>151</v>
      </c>
      <c r="C37" s="67" t="s">
        <v>19</v>
      </c>
      <c r="D37" s="74" t="s">
        <v>42</v>
      </c>
      <c r="E37" s="85"/>
      <c r="F37" s="88">
        <v>3100</v>
      </c>
      <c r="G37" s="66" t="s">
        <v>152</v>
      </c>
      <c r="H37" s="75">
        <v>45962</v>
      </c>
      <c r="I37" s="83">
        <v>527.12</v>
      </c>
      <c r="N37" s="107"/>
    </row>
    <row r="38" spans="1:14" s="59" customFormat="1" ht="30" customHeight="1" x14ac:dyDescent="0.3">
      <c r="A38" s="71" t="s">
        <v>26</v>
      </c>
      <c r="B38" s="69" t="s">
        <v>27</v>
      </c>
      <c r="C38" s="69" t="s">
        <v>28</v>
      </c>
      <c r="D38" s="69" t="s">
        <v>17</v>
      </c>
      <c r="E38" s="78">
        <v>2029</v>
      </c>
      <c r="F38" s="79">
        <v>1950</v>
      </c>
      <c r="G38" s="80">
        <v>45341</v>
      </c>
      <c r="H38" s="75">
        <v>45809</v>
      </c>
      <c r="I38" s="81">
        <v>251.75</v>
      </c>
    </row>
    <row r="39" spans="1:14" s="59" customFormat="1" ht="30" customHeight="1" x14ac:dyDescent="0.3">
      <c r="A39" s="71" t="s">
        <v>55</v>
      </c>
      <c r="B39" s="69" t="s">
        <v>56</v>
      </c>
      <c r="C39" s="69" t="s">
        <v>38</v>
      </c>
      <c r="D39" s="69" t="s">
        <v>17</v>
      </c>
      <c r="E39" s="78">
        <v>2029</v>
      </c>
      <c r="F39" s="79">
        <v>2900</v>
      </c>
      <c r="G39" s="80">
        <v>45477</v>
      </c>
      <c r="H39" s="75">
        <v>45839</v>
      </c>
      <c r="I39" s="81">
        <f>346.02+195.27+164.03</f>
        <v>705.31999999999994</v>
      </c>
    </row>
    <row r="40" spans="1:14" s="59" customFormat="1" ht="30" customHeight="1" x14ac:dyDescent="0.3">
      <c r="A40" s="124" t="s">
        <v>57</v>
      </c>
      <c r="B40" s="125" t="s">
        <v>58</v>
      </c>
      <c r="C40" s="125" t="s">
        <v>59</v>
      </c>
      <c r="D40" s="125" t="s">
        <v>17</v>
      </c>
      <c r="E40" s="78">
        <v>2029</v>
      </c>
      <c r="F40" s="126">
        <v>1950</v>
      </c>
      <c r="G40" s="127">
        <v>45341</v>
      </c>
      <c r="H40" s="128">
        <v>45839</v>
      </c>
      <c r="I40" s="129">
        <v>300</v>
      </c>
    </row>
    <row r="41" spans="1:14" s="59" customFormat="1" ht="30" customHeight="1" x14ac:dyDescent="0.3">
      <c r="A41" s="71" t="s">
        <v>61</v>
      </c>
      <c r="B41" s="91" t="s">
        <v>62</v>
      </c>
      <c r="C41" s="91" t="s">
        <v>63</v>
      </c>
      <c r="D41" s="92" t="s">
        <v>17</v>
      </c>
      <c r="E41" s="121">
        <v>2029</v>
      </c>
      <c r="F41" s="93">
        <v>2700</v>
      </c>
      <c r="G41" s="94">
        <v>45428</v>
      </c>
      <c r="H41" s="75">
        <v>45870</v>
      </c>
      <c r="I41" s="93">
        <v>456.39</v>
      </c>
    </row>
    <row r="42" spans="1:14" s="59" customFormat="1" ht="30" customHeight="1" x14ac:dyDescent="0.3">
      <c r="A42" s="71" t="s">
        <v>64</v>
      </c>
      <c r="B42" s="69" t="s">
        <v>65</v>
      </c>
      <c r="C42" s="68" t="s">
        <v>66</v>
      </c>
      <c r="D42" s="91" t="s">
        <v>17</v>
      </c>
      <c r="E42" s="121">
        <v>3218</v>
      </c>
      <c r="F42" s="93">
        <v>3218</v>
      </c>
      <c r="G42" s="94">
        <v>45419</v>
      </c>
      <c r="H42" s="75">
        <v>45870</v>
      </c>
      <c r="I42" s="93">
        <v>685.54</v>
      </c>
    </row>
    <row r="43" spans="1:14" s="59" customFormat="1" ht="30" customHeight="1" x14ac:dyDescent="0.3">
      <c r="A43" s="86" t="s">
        <v>97</v>
      </c>
      <c r="B43" s="67" t="s">
        <v>98</v>
      </c>
      <c r="C43" s="67" t="s">
        <v>19</v>
      </c>
      <c r="D43" s="67" t="s">
        <v>17</v>
      </c>
      <c r="E43" s="122">
        <v>2029</v>
      </c>
      <c r="F43" s="79">
        <v>2800</v>
      </c>
      <c r="G43" s="66">
        <v>45759</v>
      </c>
      <c r="H43" s="75">
        <v>45962</v>
      </c>
      <c r="I43" s="84">
        <v>467.28</v>
      </c>
    </row>
    <row r="44" spans="1:14" s="59" customFormat="1" ht="30" customHeight="1" x14ac:dyDescent="0.3">
      <c r="A44" s="71" t="s">
        <v>99</v>
      </c>
      <c r="B44" s="69" t="s">
        <v>100</v>
      </c>
      <c r="C44" s="72" t="s">
        <v>38</v>
      </c>
      <c r="D44" s="67" t="s">
        <v>17</v>
      </c>
      <c r="E44" s="123">
        <v>2029</v>
      </c>
      <c r="F44" s="88">
        <v>2900</v>
      </c>
      <c r="G44" s="66">
        <v>45413</v>
      </c>
      <c r="H44" s="75">
        <v>45962</v>
      </c>
      <c r="I44" s="84">
        <v>530.79999999999995</v>
      </c>
    </row>
    <row r="45" spans="1:14" s="59" customFormat="1" ht="30" customHeight="1" x14ac:dyDescent="0.3">
      <c r="A45" s="110" t="s">
        <v>110</v>
      </c>
      <c r="B45" s="130" t="s">
        <v>111</v>
      </c>
      <c r="C45" s="130" t="s">
        <v>86</v>
      </c>
      <c r="D45" s="130" t="s">
        <v>116</v>
      </c>
      <c r="E45" s="88">
        <v>3400</v>
      </c>
      <c r="F45" s="112">
        <v>3400</v>
      </c>
      <c r="G45" s="131">
        <v>45329</v>
      </c>
      <c r="H45" s="114">
        <v>45962</v>
      </c>
      <c r="I45" s="132">
        <v>598.86</v>
      </c>
    </row>
    <row r="46" spans="1:14" s="59" customFormat="1" ht="30" customHeight="1" x14ac:dyDescent="0.3">
      <c r="A46" s="67" t="s">
        <v>155</v>
      </c>
      <c r="B46" s="67" t="s">
        <v>156</v>
      </c>
      <c r="C46" s="67" t="s">
        <v>86</v>
      </c>
      <c r="D46" s="82" t="s">
        <v>117</v>
      </c>
      <c r="E46" s="85"/>
      <c r="F46" s="88">
        <v>2400</v>
      </c>
      <c r="G46" s="66">
        <v>45071</v>
      </c>
      <c r="H46" s="75">
        <v>45962</v>
      </c>
      <c r="I46" s="83">
        <f>364.52+209.25</f>
        <v>573.77</v>
      </c>
    </row>
    <row r="47" spans="1:14" s="59" customFormat="1" ht="30" customHeight="1" x14ac:dyDescent="0.3">
      <c r="A47" s="71" t="s">
        <v>161</v>
      </c>
      <c r="B47" s="67" t="s">
        <v>162</v>
      </c>
      <c r="C47" s="67" t="s">
        <v>79</v>
      </c>
      <c r="D47" s="67" t="s">
        <v>163</v>
      </c>
      <c r="E47" s="85"/>
      <c r="F47" s="88">
        <v>2000</v>
      </c>
      <c r="G47" s="66">
        <v>44722</v>
      </c>
      <c r="H47" s="75">
        <v>45962</v>
      </c>
      <c r="I47" s="83">
        <v>635.95000000000005</v>
      </c>
    </row>
    <row r="48" spans="1:14" s="59" customFormat="1" ht="30" customHeight="1" x14ac:dyDescent="0.3">
      <c r="A48" s="67" t="s">
        <v>157</v>
      </c>
      <c r="B48" s="67" t="s">
        <v>158</v>
      </c>
      <c r="C48" s="72" t="s">
        <v>38</v>
      </c>
      <c r="D48" s="82" t="s">
        <v>117</v>
      </c>
      <c r="E48" s="85"/>
      <c r="F48" s="88">
        <v>3100</v>
      </c>
      <c r="G48" s="66">
        <v>45627</v>
      </c>
      <c r="H48" s="75">
        <v>45962</v>
      </c>
      <c r="I48" s="83">
        <f>454.33+181.78</f>
        <v>636.11</v>
      </c>
    </row>
    <row r="49" spans="1:9" s="59" customFormat="1" ht="30" customHeight="1" x14ac:dyDescent="0.3">
      <c r="A49" s="71" t="s">
        <v>74</v>
      </c>
      <c r="B49" s="67" t="s">
        <v>159</v>
      </c>
      <c r="C49" s="67" t="s">
        <v>63</v>
      </c>
      <c r="D49" s="67" t="s">
        <v>160</v>
      </c>
      <c r="E49" s="85"/>
      <c r="F49" s="88">
        <v>3200</v>
      </c>
      <c r="G49" s="66">
        <v>45343</v>
      </c>
      <c r="H49" s="75">
        <v>45962</v>
      </c>
      <c r="I49" s="83">
        <v>547.79</v>
      </c>
    </row>
    <row r="50" spans="1:9" s="59" customFormat="1" ht="30" customHeight="1" x14ac:dyDescent="0.3">
      <c r="A50" s="71" t="s">
        <v>105</v>
      </c>
      <c r="B50" s="67" t="s">
        <v>106</v>
      </c>
      <c r="C50" s="67" t="s">
        <v>107</v>
      </c>
      <c r="D50" s="82" t="s">
        <v>117</v>
      </c>
      <c r="E50" s="88">
        <v>2600</v>
      </c>
      <c r="F50" s="95">
        <v>2800</v>
      </c>
      <c r="G50" s="66">
        <v>44931</v>
      </c>
      <c r="H50" s="75">
        <v>45962</v>
      </c>
      <c r="I50" s="84">
        <v>447.5</v>
      </c>
    </row>
    <row r="51" spans="1:9" s="59" customFormat="1" ht="30" customHeight="1" x14ac:dyDescent="0.3">
      <c r="A51" s="86" t="s">
        <v>167</v>
      </c>
      <c r="B51" s="69" t="s">
        <v>168</v>
      </c>
      <c r="C51" s="72" t="s">
        <v>142</v>
      </c>
      <c r="D51" s="101" t="s">
        <v>169</v>
      </c>
      <c r="E51" s="85"/>
      <c r="F51" s="88">
        <v>4000</v>
      </c>
      <c r="G51" s="80">
        <v>43728</v>
      </c>
      <c r="H51" s="75">
        <v>45962</v>
      </c>
      <c r="I51" s="83">
        <v>433.37</v>
      </c>
    </row>
    <row r="52" spans="1:9" s="59" customFormat="1" ht="29.25" customHeight="1" x14ac:dyDescent="0.3">
      <c r="A52" s="71" t="s">
        <v>164</v>
      </c>
      <c r="B52" s="67" t="s">
        <v>165</v>
      </c>
      <c r="C52" s="67" t="s">
        <v>86</v>
      </c>
      <c r="D52" s="99" t="s">
        <v>166</v>
      </c>
      <c r="E52" s="85"/>
      <c r="F52" s="88">
        <v>2250</v>
      </c>
      <c r="G52" s="66">
        <v>45055</v>
      </c>
      <c r="H52" s="75">
        <v>45962</v>
      </c>
      <c r="I52" s="83">
        <v>178.18</v>
      </c>
    </row>
    <row r="53" spans="1:9" s="59" customFormat="1" ht="30" customHeight="1" x14ac:dyDescent="0.3">
      <c r="A53" s="116" t="s">
        <v>171</v>
      </c>
      <c r="B53" s="67" t="s">
        <v>172</v>
      </c>
      <c r="C53" s="117" t="s">
        <v>173</v>
      </c>
      <c r="D53" s="67" t="s">
        <v>133</v>
      </c>
      <c r="E53" s="120"/>
      <c r="F53" s="79">
        <v>2180</v>
      </c>
      <c r="G53" s="118">
        <v>45713</v>
      </c>
      <c r="H53" s="75">
        <v>45962</v>
      </c>
      <c r="I53" s="83">
        <v>653.76</v>
      </c>
    </row>
    <row r="54" spans="1:9" s="59" customFormat="1" ht="30" customHeight="1" x14ac:dyDescent="0.3">
      <c r="A54" s="71" t="s">
        <v>174</v>
      </c>
      <c r="B54" s="69" t="s">
        <v>175</v>
      </c>
      <c r="C54" s="85" t="s">
        <v>173</v>
      </c>
      <c r="D54" s="85" t="s">
        <v>17</v>
      </c>
      <c r="E54"/>
      <c r="F54" s="88">
        <v>2180</v>
      </c>
      <c r="G54" s="118">
        <v>45670</v>
      </c>
      <c r="H54" s="75">
        <v>45962</v>
      </c>
      <c r="I54" s="84">
        <v>560.25</v>
      </c>
    </row>
    <row r="55" spans="1:9" s="59" customFormat="1" ht="30" customHeight="1" thickBot="1" x14ac:dyDescent="0.35"/>
    <row r="56" spans="1:9" ht="44.25" customHeight="1" thickBot="1" x14ac:dyDescent="0.35">
      <c r="A56" s="34"/>
      <c r="B56" s="34"/>
      <c r="C56" s="34"/>
      <c r="D56" s="34"/>
      <c r="E56" s="34"/>
      <c r="F56" s="34"/>
      <c r="G56" s="98"/>
      <c r="H56" s="34"/>
      <c r="I56" s="133">
        <f>SUM(I4:I55)</f>
        <v>25024.55</v>
      </c>
    </row>
    <row r="57" spans="1:9" ht="30" customHeight="1" x14ac:dyDescent="0.25"/>
    <row r="58" spans="1:9" ht="30" customHeight="1" x14ac:dyDescent="0.25"/>
    <row r="59" spans="1:9" ht="30" customHeight="1" x14ac:dyDescent="0.25"/>
    <row r="60" spans="1:9" ht="30" customHeight="1" x14ac:dyDescent="0.25"/>
  </sheetData>
  <autoFilter ref="A3:I54" xr:uid="{8719C7CF-B8BB-48B1-BF6F-99DF8DC5A007}">
    <sortState xmlns:xlrd2="http://schemas.microsoft.com/office/spreadsheetml/2017/richdata2" ref="A7:I50">
      <sortCondition ref="A3:A54"/>
    </sortState>
  </autoFilter>
  <mergeCells count="1">
    <mergeCell ref="A1:I1"/>
  </mergeCells>
  <phoneticPr fontId="8" type="noConversion"/>
  <pageMargins left="0.25" right="0.25" top="0.75" bottom="0.75" header="0.3" footer="0.3"/>
  <pageSetup paperSize="9"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AA67-DD2A-4EBC-9257-1FD79CD90BB2}">
  <dimension ref="A1:J29"/>
  <sheetViews>
    <sheetView workbookViewId="0">
      <selection activeCell="B19" sqref="B19"/>
    </sheetView>
  </sheetViews>
  <sheetFormatPr defaultRowHeight="15" x14ac:dyDescent="0.25"/>
  <cols>
    <col min="1" max="1" width="8.5703125" bestFit="1" customWidth="1"/>
    <col min="2" max="2" width="44.5703125" bestFit="1" customWidth="1"/>
    <col min="3" max="3" width="32.85546875" bestFit="1" customWidth="1"/>
    <col min="4" max="4" width="15.85546875" bestFit="1" customWidth="1"/>
    <col min="5" max="6" width="15.140625" bestFit="1" customWidth="1"/>
    <col min="7" max="7" width="13.42578125" bestFit="1" customWidth="1"/>
    <col min="9" max="9" width="16.42578125" bestFit="1" customWidth="1"/>
    <col min="10" max="10" width="19.140625" bestFit="1" customWidth="1"/>
  </cols>
  <sheetData>
    <row r="1" spans="1:10" ht="45" customHeight="1" x14ac:dyDescent="0.25">
      <c r="A1" s="105" t="s">
        <v>31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10" ht="6" customHeight="1" thickBot="1" x14ac:dyDescent="0.3">
      <c r="A2" s="106"/>
      <c r="B2" s="106"/>
      <c r="C2" s="106"/>
      <c r="D2" s="106"/>
      <c r="E2" s="106"/>
      <c r="F2" s="106"/>
      <c r="G2" s="106"/>
      <c r="H2" s="106"/>
      <c r="I2" s="106"/>
      <c r="J2" s="106"/>
    </row>
    <row r="3" spans="1:10" s="4" customFormat="1" ht="51.75" x14ac:dyDescent="0.3">
      <c r="A3" s="1" t="s">
        <v>7</v>
      </c>
      <c r="B3" s="2" t="s">
        <v>8</v>
      </c>
      <c r="C3" s="2" t="s">
        <v>9</v>
      </c>
      <c r="D3" s="1" t="s">
        <v>10</v>
      </c>
      <c r="E3" s="2" t="s">
        <v>11</v>
      </c>
      <c r="F3" s="2" t="s">
        <v>12</v>
      </c>
      <c r="G3" s="1" t="s">
        <v>13</v>
      </c>
      <c r="H3" s="1" t="s">
        <v>32</v>
      </c>
      <c r="I3" s="3" t="s">
        <v>14</v>
      </c>
      <c r="J3" s="3" t="s">
        <v>33</v>
      </c>
    </row>
    <row r="4" spans="1:10" s="4" customFormat="1" ht="24.95" customHeight="1" x14ac:dyDescent="0.3">
      <c r="A4" s="5" t="s">
        <v>15</v>
      </c>
      <c r="B4" s="6" t="s">
        <v>4</v>
      </c>
      <c r="C4" s="6" t="s">
        <v>16</v>
      </c>
      <c r="D4" s="7" t="s">
        <v>17</v>
      </c>
      <c r="E4" s="8">
        <v>2889.1</v>
      </c>
      <c r="F4" s="9">
        <v>3800</v>
      </c>
      <c r="G4" s="10">
        <v>45376</v>
      </c>
      <c r="H4" s="15">
        <v>45778</v>
      </c>
      <c r="I4" s="11">
        <v>229.6</v>
      </c>
      <c r="J4" s="17" t="s">
        <v>34</v>
      </c>
    </row>
    <row r="5" spans="1:10" s="4" customFormat="1" ht="24.95" customHeight="1" x14ac:dyDescent="0.3">
      <c r="A5" s="5" t="s">
        <v>21</v>
      </c>
      <c r="B5" s="6" t="s">
        <v>22</v>
      </c>
      <c r="C5" s="7" t="s">
        <v>23</v>
      </c>
      <c r="D5" s="7" t="s">
        <v>17</v>
      </c>
      <c r="E5" s="8">
        <v>2029</v>
      </c>
      <c r="F5" s="13">
        <v>2300</v>
      </c>
      <c r="G5" s="14">
        <v>45593</v>
      </c>
      <c r="H5" s="16">
        <v>45809</v>
      </c>
      <c r="I5" s="11">
        <v>172.45</v>
      </c>
      <c r="J5" s="17" t="s">
        <v>35</v>
      </c>
    </row>
    <row r="6" spans="1:10" s="22" customFormat="1" ht="27.95" customHeight="1" x14ac:dyDescent="0.3">
      <c r="A6" s="21" t="s">
        <v>18</v>
      </c>
      <c r="B6" s="12" t="s">
        <v>6</v>
      </c>
      <c r="C6" s="6" t="s">
        <v>19</v>
      </c>
      <c r="D6" s="18" t="s">
        <v>20</v>
      </c>
      <c r="E6" s="19">
        <v>2029</v>
      </c>
      <c r="F6" s="20">
        <v>2650</v>
      </c>
      <c r="G6" s="10">
        <v>41737</v>
      </c>
      <c r="H6" s="15">
        <v>45809</v>
      </c>
      <c r="I6" s="11">
        <v>365.99</v>
      </c>
      <c r="J6" s="31" t="s">
        <v>80</v>
      </c>
    </row>
    <row r="7" spans="1:10" s="28" customFormat="1" ht="27.75" customHeight="1" x14ac:dyDescent="0.3">
      <c r="A7" s="23"/>
      <c r="B7" s="29" t="s">
        <v>85</v>
      </c>
      <c r="C7" s="29" t="s">
        <v>86</v>
      </c>
      <c r="D7" s="26" t="s">
        <v>39</v>
      </c>
      <c r="E7" s="27"/>
      <c r="F7" s="27"/>
      <c r="G7" s="26"/>
      <c r="H7" s="24"/>
      <c r="I7" s="27">
        <v>245.43</v>
      </c>
    </row>
    <row r="8" spans="1:10" s="25" customFormat="1" ht="28.5" customHeight="1" x14ac:dyDescent="0.3">
      <c r="A8" s="23" t="s">
        <v>78</v>
      </c>
      <c r="B8" s="29" t="s">
        <v>68</v>
      </c>
      <c r="C8" s="29" t="s">
        <v>79</v>
      </c>
      <c r="D8" s="26" t="s">
        <v>17</v>
      </c>
      <c r="E8" s="27">
        <v>2029</v>
      </c>
      <c r="F8" s="27">
        <v>1950</v>
      </c>
      <c r="G8" s="32">
        <v>45341</v>
      </c>
      <c r="H8" s="24">
        <v>45901</v>
      </c>
      <c r="I8" s="27">
        <v>564.72</v>
      </c>
    </row>
    <row r="9" spans="1:10" ht="24.95" customHeight="1" x14ac:dyDescent="0.25"/>
    <row r="10" spans="1:10" ht="24.95" customHeight="1" x14ac:dyDescent="0.25"/>
    <row r="11" spans="1:10" ht="24.95" customHeight="1" x14ac:dyDescent="0.25"/>
    <row r="12" spans="1:10" ht="24.95" customHeight="1" x14ac:dyDescent="0.25"/>
    <row r="13" spans="1:10" ht="24.95" customHeight="1" x14ac:dyDescent="0.25"/>
    <row r="14" spans="1:10" ht="24.95" customHeight="1" x14ac:dyDescent="0.25"/>
    <row r="15" spans="1:10" ht="24.95" customHeight="1" x14ac:dyDescent="0.25"/>
    <row r="16" spans="1:10" ht="24.95" customHeight="1" x14ac:dyDescent="0.25"/>
    <row r="17" ht="24.95" customHeight="1" x14ac:dyDescent="0.25"/>
    <row r="18" ht="24.95" customHeight="1" x14ac:dyDescent="0.25"/>
    <row r="19" ht="24.95" customHeight="1" x14ac:dyDescent="0.25"/>
    <row r="20" ht="24.95" customHeight="1" x14ac:dyDescent="0.25"/>
    <row r="21" ht="24.95" customHeight="1" x14ac:dyDescent="0.25"/>
    <row r="22" ht="24.95" customHeight="1" x14ac:dyDescent="0.25"/>
    <row r="23" ht="24.95" customHeight="1" x14ac:dyDescent="0.25"/>
    <row r="24" ht="24.95" customHeight="1" x14ac:dyDescent="0.25"/>
    <row r="25" ht="24.95" customHeight="1" x14ac:dyDescent="0.25"/>
    <row r="26" ht="24.95" customHeight="1" x14ac:dyDescent="0.25"/>
    <row r="27" ht="24.95" customHeight="1" x14ac:dyDescent="0.25"/>
    <row r="28" ht="24.95" customHeight="1" x14ac:dyDescent="0.25"/>
    <row r="29" ht="24.95" customHeight="1" x14ac:dyDescent="0.25"/>
  </sheetData>
  <autoFilter ref="A3:J3" xr:uid="{82EDAA67-DD2A-4EBC-9257-1FD79CD90BB2}"/>
  <mergeCells count="1">
    <mergeCell ref="A1:J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3DD63-D5D6-44D7-AFB6-73EABF42124D}">
  <sheetPr>
    <pageSetUpPr fitToPage="1"/>
  </sheetPr>
  <dimension ref="A1:B4"/>
  <sheetViews>
    <sheetView workbookViewId="0">
      <selection activeCell="B6" sqref="B6"/>
    </sheetView>
  </sheetViews>
  <sheetFormatPr defaultRowHeight="22.5" x14ac:dyDescent="0.3"/>
  <cols>
    <col min="1" max="1" width="26.5703125" style="43" bestFit="1" customWidth="1"/>
    <col min="2" max="2" width="74.5703125" style="43" bestFit="1" customWidth="1"/>
  </cols>
  <sheetData>
    <row r="1" spans="1:2" ht="50.1" customHeight="1" thickBot="1" x14ac:dyDescent="0.35">
      <c r="A1" s="35" t="s">
        <v>60</v>
      </c>
      <c r="B1" s="36" t="s">
        <v>121</v>
      </c>
    </row>
    <row r="2" spans="1:2" ht="50.1" customHeight="1" x14ac:dyDescent="0.3">
      <c r="A2" s="37" t="s">
        <v>2</v>
      </c>
      <c r="B2" s="38" t="s">
        <v>119</v>
      </c>
    </row>
    <row r="3" spans="1:2" ht="50.1" customHeight="1" x14ac:dyDescent="0.3">
      <c r="A3" s="39" t="s">
        <v>0</v>
      </c>
      <c r="B3" s="40" t="s">
        <v>3</v>
      </c>
    </row>
    <row r="4" spans="1:2" ht="50.1" customHeight="1" thickBot="1" x14ac:dyDescent="0.35">
      <c r="A4" s="41" t="s">
        <v>1</v>
      </c>
      <c r="B4" s="42">
        <v>368.96</v>
      </c>
    </row>
  </sheetData>
  <pageMargins left="0.511811024" right="0.511811024" top="0.78740157499999996" bottom="0.78740157499999996" header="0.31496062000000002" footer="0.31496062000000002"/>
  <pageSetup paperSize="9" scale="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5D87-6CC1-4F9C-AB0B-F318DE24CCAE}">
  <sheetPr>
    <pageSetUpPr fitToPage="1"/>
  </sheetPr>
  <dimension ref="A1:C7"/>
  <sheetViews>
    <sheetView topLeftCell="A4" workbookViewId="0">
      <selection activeCell="B11" sqref="B11"/>
    </sheetView>
  </sheetViews>
  <sheetFormatPr defaultRowHeight="22.5" x14ac:dyDescent="0.3"/>
  <cols>
    <col min="1" max="1" width="26.5703125" style="43" bestFit="1" customWidth="1"/>
    <col min="2" max="2" width="74.5703125" style="43" bestFit="1" customWidth="1"/>
  </cols>
  <sheetData>
    <row r="1" spans="1:3" ht="23.25" thickBot="1" x14ac:dyDescent="0.35"/>
    <row r="2" spans="1:3" ht="50.1" customHeight="1" thickBot="1" x14ac:dyDescent="0.55000000000000004">
      <c r="A2" s="35" t="s">
        <v>60</v>
      </c>
      <c r="B2" s="36" t="s">
        <v>114</v>
      </c>
      <c r="C2" s="30"/>
    </row>
    <row r="3" spans="1:3" ht="50.1" customHeight="1" x14ac:dyDescent="0.5">
      <c r="A3" s="37" t="s">
        <v>2</v>
      </c>
      <c r="B3" s="38" t="s">
        <v>113</v>
      </c>
      <c r="C3" s="30"/>
    </row>
    <row r="4" spans="1:3" ht="50.1" customHeight="1" x14ac:dyDescent="0.5">
      <c r="A4" s="39" t="s">
        <v>0</v>
      </c>
      <c r="B4" s="40" t="s">
        <v>3</v>
      </c>
      <c r="C4" s="30"/>
    </row>
    <row r="5" spans="1:3" ht="50.1" customHeight="1" thickBot="1" x14ac:dyDescent="0.55000000000000004">
      <c r="A5" s="41" t="s">
        <v>1</v>
      </c>
      <c r="B5" s="42">
        <v>530.79999999999995</v>
      </c>
      <c r="C5" s="30"/>
    </row>
    <row r="6" spans="1:3" ht="50.1" customHeight="1" x14ac:dyDescent="0.3"/>
    <row r="7" spans="1:3" ht="50.1" customHeight="1" x14ac:dyDescent="0.3"/>
  </sheetData>
  <pageMargins left="0.511811024" right="0.511811024" top="0.78740157499999996" bottom="0.78740157499999996" header="0.31496062000000002" footer="0.31496062000000002"/>
  <pageSetup paperSize="9" scale="9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8327-504E-40F5-89DC-C8AE3DDBF990}">
  <dimension ref="A1:C23"/>
  <sheetViews>
    <sheetView topLeftCell="A9" workbookViewId="0">
      <selection activeCell="F13" sqref="F13"/>
    </sheetView>
  </sheetViews>
  <sheetFormatPr defaultRowHeight="22.5" x14ac:dyDescent="0.3"/>
  <cols>
    <col min="1" max="1" width="26.5703125" style="43" bestFit="1" customWidth="1"/>
    <col min="2" max="2" width="74.5703125" style="43" bestFit="1" customWidth="1"/>
  </cols>
  <sheetData>
    <row r="1" spans="1:3" ht="50.1" customHeight="1" thickBot="1" x14ac:dyDescent="0.35">
      <c r="A1" s="35" t="s">
        <v>60</v>
      </c>
      <c r="B1" s="36" t="s">
        <v>42</v>
      </c>
    </row>
    <row r="2" spans="1:3" ht="50.1" customHeight="1" x14ac:dyDescent="0.3">
      <c r="A2" s="37" t="s">
        <v>2</v>
      </c>
      <c r="B2" s="38" t="s">
        <v>41</v>
      </c>
    </row>
    <row r="3" spans="1:3" ht="50.1" customHeight="1" x14ac:dyDescent="0.3">
      <c r="A3" s="39" t="s">
        <v>0</v>
      </c>
      <c r="B3" s="40" t="s">
        <v>3</v>
      </c>
    </row>
    <row r="4" spans="1:3" ht="50.1" customHeight="1" thickBot="1" x14ac:dyDescent="0.35">
      <c r="A4" s="41" t="s">
        <v>1</v>
      </c>
      <c r="B4" s="42">
        <v>125.24</v>
      </c>
    </row>
    <row r="5" spans="1:3" ht="50.1" customHeight="1" thickBot="1" x14ac:dyDescent="0.35"/>
    <row r="6" spans="1:3" ht="50.1" customHeight="1" thickBot="1" x14ac:dyDescent="0.55000000000000004">
      <c r="A6" s="35" t="s">
        <v>60</v>
      </c>
      <c r="B6" s="36" t="s">
        <v>42</v>
      </c>
      <c r="C6" s="30"/>
    </row>
    <row r="7" spans="1:3" ht="50.1" customHeight="1" x14ac:dyDescent="0.5">
      <c r="A7" s="37" t="s">
        <v>2</v>
      </c>
      <c r="B7" s="38" t="s">
        <v>43</v>
      </c>
      <c r="C7" s="30"/>
    </row>
    <row r="8" spans="1:3" ht="50.1" customHeight="1" x14ac:dyDescent="0.5">
      <c r="A8" s="39" t="s">
        <v>0</v>
      </c>
      <c r="B8" s="40" t="s">
        <v>3</v>
      </c>
      <c r="C8" s="30"/>
    </row>
    <row r="9" spans="1:3" ht="50.1" customHeight="1" thickBot="1" x14ac:dyDescent="0.55000000000000004">
      <c r="A9" s="41" t="s">
        <v>1</v>
      </c>
      <c r="B9" s="42">
        <v>555.41</v>
      </c>
      <c r="C9" s="30"/>
    </row>
    <row r="10" spans="1:3" ht="50.1" customHeight="1" thickBot="1" x14ac:dyDescent="0.35"/>
    <row r="11" spans="1:3" ht="50.1" customHeight="1" thickBot="1" x14ac:dyDescent="0.35">
      <c r="A11" s="35" t="s">
        <v>60</v>
      </c>
      <c r="B11" s="36" t="s">
        <v>42</v>
      </c>
    </row>
    <row r="12" spans="1:3" ht="50.1" customHeight="1" x14ac:dyDescent="0.3">
      <c r="A12" s="37" t="s">
        <v>2</v>
      </c>
      <c r="B12" s="38" t="s">
        <v>46</v>
      </c>
    </row>
    <row r="13" spans="1:3" ht="50.1" customHeight="1" x14ac:dyDescent="0.3">
      <c r="A13" s="39" t="s">
        <v>0</v>
      </c>
      <c r="B13" s="40" t="s">
        <v>3</v>
      </c>
    </row>
    <row r="14" spans="1:3" ht="50.1" customHeight="1" thickBot="1" x14ac:dyDescent="0.35">
      <c r="A14" s="41" t="s">
        <v>1</v>
      </c>
      <c r="B14" s="42">
        <v>631.07000000000005</v>
      </c>
    </row>
    <row r="15" spans="1:3" ht="50.1" customHeight="1" thickBot="1" x14ac:dyDescent="0.35"/>
    <row r="16" spans="1:3" ht="50.1" customHeight="1" thickBot="1" x14ac:dyDescent="0.35">
      <c r="A16" s="35" t="s">
        <v>60</v>
      </c>
      <c r="B16" s="36" t="s">
        <v>42</v>
      </c>
    </row>
    <row r="17" spans="1:2" ht="50.1" customHeight="1" x14ac:dyDescent="0.3">
      <c r="A17" s="37" t="s">
        <v>2</v>
      </c>
      <c r="B17" s="38" t="s">
        <v>72</v>
      </c>
    </row>
    <row r="18" spans="1:2" ht="50.1" customHeight="1" x14ac:dyDescent="0.3">
      <c r="A18" s="39" t="s">
        <v>0</v>
      </c>
      <c r="B18" s="40" t="s">
        <v>3</v>
      </c>
    </row>
    <row r="19" spans="1:2" ht="50.1" customHeight="1" thickBot="1" x14ac:dyDescent="0.35">
      <c r="A19" s="41" t="s">
        <v>1</v>
      </c>
      <c r="B19" s="42">
        <v>272.31</v>
      </c>
    </row>
    <row r="20" spans="1:2" ht="50.1" customHeight="1" x14ac:dyDescent="0.3"/>
    <row r="21" spans="1:2" ht="50.1" customHeight="1" x14ac:dyDescent="0.3"/>
    <row r="22" spans="1:2" ht="50.1" customHeight="1" x14ac:dyDescent="0.3"/>
    <row r="23" spans="1:2" ht="50.1" customHeight="1" x14ac:dyDescent="0.3"/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6E02-004D-4E87-AAE1-A6A25E0A0AC1}">
  <sheetPr>
    <pageSetUpPr fitToPage="1"/>
  </sheetPr>
  <dimension ref="A1:B19"/>
  <sheetViews>
    <sheetView workbookViewId="0">
      <selection activeCell="B6" sqref="B6"/>
    </sheetView>
  </sheetViews>
  <sheetFormatPr defaultRowHeight="22.5" x14ac:dyDescent="0.3"/>
  <cols>
    <col min="1" max="1" width="26.5703125" style="43" bestFit="1" customWidth="1"/>
    <col min="2" max="2" width="74.5703125" style="43" bestFit="1" customWidth="1"/>
  </cols>
  <sheetData>
    <row r="1" spans="1:2" ht="50.1" customHeight="1" thickBot="1" x14ac:dyDescent="0.35"/>
    <row r="2" spans="1:2" ht="50.1" customHeight="1" thickBot="1" x14ac:dyDescent="0.35">
      <c r="A2" s="35" t="s">
        <v>60</v>
      </c>
      <c r="B2" s="36" t="s">
        <v>39</v>
      </c>
    </row>
    <row r="3" spans="1:2" ht="50.1" customHeight="1" x14ac:dyDescent="0.3">
      <c r="A3" s="37" t="s">
        <v>2</v>
      </c>
      <c r="B3" s="38" t="s">
        <v>37</v>
      </c>
    </row>
    <row r="4" spans="1:2" ht="50.1" customHeight="1" x14ac:dyDescent="0.3">
      <c r="A4" s="39" t="s">
        <v>0</v>
      </c>
      <c r="B4" s="40" t="s">
        <v>3</v>
      </c>
    </row>
    <row r="5" spans="1:2" ht="50.1" customHeight="1" thickBot="1" x14ac:dyDescent="0.35">
      <c r="A5" s="41" t="s">
        <v>1</v>
      </c>
      <c r="B5" s="42">
        <v>632.15</v>
      </c>
    </row>
    <row r="6" spans="1:2" ht="50.1" customHeight="1" x14ac:dyDescent="0.3"/>
    <row r="7" spans="1:2" ht="50.1" customHeight="1" thickBot="1" x14ac:dyDescent="0.35"/>
    <row r="8" spans="1:2" ht="50.1" customHeight="1" thickBot="1" x14ac:dyDescent="0.35">
      <c r="A8" s="35" t="s">
        <v>60</v>
      </c>
      <c r="B8" s="36" t="s">
        <v>39</v>
      </c>
    </row>
    <row r="9" spans="1:2" ht="50.1" customHeight="1" x14ac:dyDescent="0.3">
      <c r="A9" s="37" t="s">
        <v>2</v>
      </c>
      <c r="B9" s="38" t="s">
        <v>88</v>
      </c>
    </row>
    <row r="10" spans="1:2" ht="50.1" customHeight="1" x14ac:dyDescent="0.3">
      <c r="A10" s="39" t="s">
        <v>0</v>
      </c>
      <c r="B10" s="40" t="s">
        <v>3</v>
      </c>
    </row>
    <row r="11" spans="1:2" ht="50.1" customHeight="1" thickBot="1" x14ac:dyDescent="0.35">
      <c r="A11" s="41" t="s">
        <v>1</v>
      </c>
      <c r="B11" s="42">
        <v>440</v>
      </c>
    </row>
    <row r="12" spans="1:2" ht="50.1" customHeight="1" x14ac:dyDescent="0.3"/>
    <row r="13" spans="1:2" ht="50.1" customHeight="1" x14ac:dyDescent="0.3"/>
    <row r="14" spans="1:2" ht="50.1" customHeight="1" x14ac:dyDescent="0.3">
      <c r="A14" s="44" t="s">
        <v>60</v>
      </c>
      <c r="B14" s="45" t="s">
        <v>39</v>
      </c>
    </row>
    <row r="15" spans="1:2" ht="50.1" customHeight="1" x14ac:dyDescent="0.3">
      <c r="A15" s="44" t="s">
        <v>2</v>
      </c>
      <c r="B15" s="46" t="s">
        <v>92</v>
      </c>
    </row>
    <row r="16" spans="1:2" ht="50.1" customHeight="1" x14ac:dyDescent="0.3">
      <c r="A16" s="44" t="s">
        <v>0</v>
      </c>
      <c r="B16" s="47" t="s">
        <v>3</v>
      </c>
    </row>
    <row r="17" spans="1:2" ht="50.1" customHeight="1" x14ac:dyDescent="0.3">
      <c r="A17" s="44" t="s">
        <v>1</v>
      </c>
      <c r="B17" s="48">
        <v>363.78</v>
      </c>
    </row>
    <row r="18" spans="1:2" ht="50.1" customHeight="1" x14ac:dyDescent="0.3"/>
    <row r="19" spans="1:2" ht="50.1" customHeight="1" x14ac:dyDescent="0.3"/>
  </sheetData>
  <pageMargins left="0.511811024" right="0.511811024" top="0.78740157499999996" bottom="0.78740157499999996" header="0.31496062000000002" footer="0.31496062000000002"/>
  <pageSetup paperSize="9" scale="9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0BAFA-54F1-4D9A-B293-11CCBDAF6633}">
  <sheetPr>
    <pageSetUpPr fitToPage="1"/>
  </sheetPr>
  <dimension ref="A1:B25"/>
  <sheetViews>
    <sheetView topLeftCell="A2" workbookViewId="0">
      <selection activeCell="A6" sqref="A6:XFD6"/>
    </sheetView>
  </sheetViews>
  <sheetFormatPr defaultRowHeight="22.5" x14ac:dyDescent="0.3"/>
  <cols>
    <col min="1" max="1" width="22.28515625" style="43" bestFit="1" customWidth="1"/>
    <col min="2" max="2" width="79.7109375" style="43" bestFit="1" customWidth="1"/>
    <col min="9" max="9" width="15" bestFit="1" customWidth="1"/>
  </cols>
  <sheetData>
    <row r="1" spans="1:2" ht="50.1" customHeight="1" thickBot="1" x14ac:dyDescent="0.35"/>
    <row r="2" spans="1:2" ht="50.1" customHeight="1" thickBot="1" x14ac:dyDescent="0.35">
      <c r="A2" s="35" t="s">
        <v>60</v>
      </c>
      <c r="B2" s="36" t="s">
        <v>115</v>
      </c>
    </row>
    <row r="3" spans="1:2" ht="50.1" customHeight="1" x14ac:dyDescent="0.3">
      <c r="A3" s="37" t="s">
        <v>2</v>
      </c>
      <c r="B3" s="46" t="s">
        <v>104</v>
      </c>
    </row>
    <row r="4" spans="1:2" ht="50.1" customHeight="1" x14ac:dyDescent="0.3">
      <c r="A4" s="39" t="s">
        <v>0</v>
      </c>
      <c r="B4" s="40" t="s">
        <v>3</v>
      </c>
    </row>
    <row r="5" spans="1:2" ht="50.1" customHeight="1" thickBot="1" x14ac:dyDescent="0.35">
      <c r="A5" s="41" t="s">
        <v>1</v>
      </c>
      <c r="B5" s="42">
        <v>383.02</v>
      </c>
    </row>
    <row r="6" spans="1:2" ht="50.1" customHeight="1" thickBot="1" x14ac:dyDescent="0.35"/>
    <row r="7" spans="1:2" ht="50.1" customHeight="1" thickBot="1" x14ac:dyDescent="0.35">
      <c r="A7" s="35" t="s">
        <v>60</v>
      </c>
      <c r="B7" s="36" t="s">
        <v>115</v>
      </c>
    </row>
    <row r="8" spans="1:2" ht="50.1" customHeight="1" x14ac:dyDescent="0.3">
      <c r="A8" s="37" t="s">
        <v>2</v>
      </c>
      <c r="B8" s="46" t="s">
        <v>102</v>
      </c>
    </row>
    <row r="9" spans="1:2" ht="50.1" customHeight="1" x14ac:dyDescent="0.3">
      <c r="A9" s="39" t="s">
        <v>0</v>
      </c>
      <c r="B9" s="40" t="s">
        <v>3</v>
      </c>
    </row>
    <row r="10" spans="1:2" ht="50.1" customHeight="1" thickBot="1" x14ac:dyDescent="0.35">
      <c r="A10" s="41" t="s">
        <v>1</v>
      </c>
      <c r="B10" s="42">
        <v>127.64</v>
      </c>
    </row>
    <row r="11" spans="1:2" ht="50.1" customHeight="1" thickBot="1" x14ac:dyDescent="0.35"/>
    <row r="12" spans="1:2" ht="50.1" customHeight="1" thickBot="1" x14ac:dyDescent="0.35">
      <c r="A12" s="44" t="s">
        <v>60</v>
      </c>
      <c r="B12" s="36" t="s">
        <v>115</v>
      </c>
    </row>
    <row r="13" spans="1:2" ht="50.1" customHeight="1" x14ac:dyDescent="0.3">
      <c r="A13" s="44" t="s">
        <v>2</v>
      </c>
      <c r="B13" s="46" t="s">
        <v>109</v>
      </c>
    </row>
    <row r="14" spans="1:2" ht="50.1" customHeight="1" x14ac:dyDescent="0.3">
      <c r="A14" s="44" t="s">
        <v>0</v>
      </c>
      <c r="B14" s="47" t="s">
        <v>3</v>
      </c>
    </row>
    <row r="15" spans="1:2" ht="50.1" customHeight="1" x14ac:dyDescent="0.3">
      <c r="A15" s="44" t="s">
        <v>1</v>
      </c>
      <c r="B15" s="48">
        <v>454.07</v>
      </c>
    </row>
    <row r="16" spans="1:2" ht="50.1" customHeight="1" thickBot="1" x14ac:dyDescent="0.35"/>
    <row r="17" spans="1:2" ht="50.1" customHeight="1" thickBot="1" x14ac:dyDescent="0.35">
      <c r="A17" s="44" t="s">
        <v>60</v>
      </c>
      <c r="B17" s="36" t="s">
        <v>115</v>
      </c>
    </row>
    <row r="18" spans="1:2" ht="50.1" customHeight="1" x14ac:dyDescent="0.3">
      <c r="A18" s="44" t="s">
        <v>2</v>
      </c>
      <c r="B18" s="46" t="s">
        <v>111</v>
      </c>
    </row>
    <row r="19" spans="1:2" ht="50.1" customHeight="1" x14ac:dyDescent="0.3">
      <c r="A19" s="44" t="s">
        <v>0</v>
      </c>
      <c r="B19" s="47" t="s">
        <v>3</v>
      </c>
    </row>
    <row r="20" spans="1:2" ht="50.1" customHeight="1" x14ac:dyDescent="0.3">
      <c r="A20" s="44" t="s">
        <v>1</v>
      </c>
      <c r="B20" s="48">
        <v>511.72</v>
      </c>
    </row>
    <row r="21" spans="1:2" ht="50.1" customHeight="1" thickBot="1" x14ac:dyDescent="0.35"/>
    <row r="22" spans="1:2" ht="50.1" customHeight="1" thickBot="1" x14ac:dyDescent="0.35">
      <c r="A22" s="44" t="s">
        <v>60</v>
      </c>
      <c r="B22" s="36" t="s">
        <v>115</v>
      </c>
    </row>
    <row r="23" spans="1:2" ht="50.1" customHeight="1" x14ac:dyDescent="0.3">
      <c r="A23" s="44" t="s">
        <v>2</v>
      </c>
      <c r="B23" s="46" t="s">
        <v>106</v>
      </c>
    </row>
    <row r="24" spans="1:2" ht="50.1" customHeight="1" x14ac:dyDescent="0.3">
      <c r="A24" s="44" t="s">
        <v>0</v>
      </c>
      <c r="B24" s="47" t="s">
        <v>3</v>
      </c>
    </row>
    <row r="25" spans="1:2" ht="50.1" customHeight="1" x14ac:dyDescent="0.3">
      <c r="A25" s="44" t="s">
        <v>1</v>
      </c>
      <c r="B25" s="48">
        <v>447.5</v>
      </c>
    </row>
  </sheetData>
  <pageMargins left="0.511811024" right="0.511811024" top="0.78740157499999996" bottom="0.78740157499999996" header="0.31496062000000002" footer="0.31496062000000002"/>
  <pageSetup paperSize="9" scale="7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CB55-5D7C-43F7-8CA3-2E320019D0FA}">
  <sheetPr>
    <pageSetUpPr fitToPage="1"/>
  </sheetPr>
  <dimension ref="A1:B17"/>
  <sheetViews>
    <sheetView workbookViewId="0">
      <selection activeCell="C3" sqref="C3"/>
    </sheetView>
  </sheetViews>
  <sheetFormatPr defaultRowHeight="19.5" x14ac:dyDescent="0.3"/>
  <cols>
    <col min="1" max="1" width="11.140625" style="54" customWidth="1"/>
    <col min="2" max="2" width="58.85546875" style="59" customWidth="1"/>
  </cols>
  <sheetData>
    <row r="1" spans="1:2" ht="50.1" customHeight="1" thickBot="1" x14ac:dyDescent="0.35"/>
    <row r="2" spans="1:2" ht="50.1" customHeight="1" thickBot="1" x14ac:dyDescent="0.35">
      <c r="A2" s="55" t="s">
        <v>60</v>
      </c>
      <c r="B2" s="60" t="s">
        <v>20</v>
      </c>
    </row>
    <row r="3" spans="1:2" ht="50.1" customHeight="1" x14ac:dyDescent="0.3">
      <c r="A3" s="56" t="s">
        <v>2</v>
      </c>
      <c r="B3" s="61" t="s">
        <v>5</v>
      </c>
    </row>
    <row r="4" spans="1:2" ht="50.1" customHeight="1" x14ac:dyDescent="0.3">
      <c r="A4" s="57" t="s">
        <v>0</v>
      </c>
      <c r="B4" s="62" t="s">
        <v>3</v>
      </c>
    </row>
    <row r="5" spans="1:2" ht="50.1" customHeight="1" thickBot="1" x14ac:dyDescent="0.35">
      <c r="A5" s="58" t="s">
        <v>1</v>
      </c>
      <c r="B5" s="63">
        <v>289.92</v>
      </c>
    </row>
    <row r="6" spans="1:2" ht="50.1" customHeight="1" x14ac:dyDescent="0.3"/>
    <row r="7" spans="1:2" ht="50.1" customHeight="1" thickBot="1" x14ac:dyDescent="0.35"/>
    <row r="8" spans="1:2" ht="50.1" customHeight="1" thickBot="1" x14ac:dyDescent="0.35">
      <c r="A8" s="55" t="s">
        <v>60</v>
      </c>
      <c r="B8" s="60" t="s">
        <v>20</v>
      </c>
    </row>
    <row r="9" spans="1:2" ht="50.1" customHeight="1" x14ac:dyDescent="0.3">
      <c r="A9" s="56" t="s">
        <v>2</v>
      </c>
      <c r="B9" s="64" t="s">
        <v>48</v>
      </c>
    </row>
    <row r="10" spans="1:2" ht="50.1" customHeight="1" x14ac:dyDescent="0.3">
      <c r="A10" s="57" t="s">
        <v>0</v>
      </c>
      <c r="B10" s="62" t="s">
        <v>3</v>
      </c>
    </row>
    <row r="11" spans="1:2" ht="50.1" customHeight="1" thickBot="1" x14ac:dyDescent="0.3">
      <c r="A11" s="58" t="s">
        <v>1</v>
      </c>
      <c r="B11" s="65">
        <v>598.77</v>
      </c>
    </row>
    <row r="12" spans="1:2" ht="50.1" customHeight="1" thickBot="1" x14ac:dyDescent="0.35"/>
    <row r="13" spans="1:2" ht="50.1" customHeight="1" thickBot="1" x14ac:dyDescent="0.35">
      <c r="A13" s="55" t="s">
        <v>60</v>
      </c>
      <c r="B13" s="60" t="s">
        <v>20</v>
      </c>
    </row>
    <row r="14" spans="1:2" ht="50.1" customHeight="1" x14ac:dyDescent="0.3">
      <c r="A14" s="56" t="s">
        <v>2</v>
      </c>
      <c r="B14" s="64" t="s">
        <v>50</v>
      </c>
    </row>
    <row r="15" spans="1:2" ht="50.1" customHeight="1" x14ac:dyDescent="0.3">
      <c r="A15" s="57" t="s">
        <v>0</v>
      </c>
      <c r="B15" s="62" t="s">
        <v>3</v>
      </c>
    </row>
    <row r="16" spans="1:2" ht="50.1" customHeight="1" thickBot="1" x14ac:dyDescent="0.3">
      <c r="A16" s="58" t="s">
        <v>1</v>
      </c>
      <c r="B16" s="65">
        <v>133.91</v>
      </c>
    </row>
    <row r="17" ht="50.1" customHeight="1" x14ac:dyDescent="0.3"/>
  </sheetData>
  <pageMargins left="0.511811024" right="0.511811024" top="0.78740157499999996" bottom="0.78740157499999996" header="0.31496062000000002" footer="0.31496062000000002"/>
  <pageSetup paperSize="9" scale="8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3DC8-CDB3-4337-AB46-5134BD5FDFBC}">
  <sheetPr>
    <pageSetUpPr fitToPage="1"/>
  </sheetPr>
  <dimension ref="A1:B12"/>
  <sheetViews>
    <sheetView workbookViewId="0">
      <selection activeCell="D8" sqref="D8"/>
    </sheetView>
  </sheetViews>
  <sheetFormatPr defaultRowHeight="22.5" x14ac:dyDescent="0.3"/>
  <cols>
    <col min="1" max="1" width="26.5703125" style="43" bestFit="1" customWidth="1"/>
    <col min="2" max="2" width="74.5703125" style="43" bestFit="1" customWidth="1"/>
  </cols>
  <sheetData>
    <row r="1" spans="1:2" ht="50.1" customHeight="1" thickBot="1" x14ac:dyDescent="0.35"/>
    <row r="2" spans="1:2" ht="50.1" customHeight="1" thickBot="1" x14ac:dyDescent="0.35">
      <c r="A2" s="35" t="s">
        <v>60</v>
      </c>
      <c r="B2" s="36" t="s">
        <v>54</v>
      </c>
    </row>
    <row r="3" spans="1:2" ht="50.1" customHeight="1" x14ac:dyDescent="0.3">
      <c r="A3" s="37" t="s">
        <v>2</v>
      </c>
      <c r="B3" s="38" t="s">
        <v>51</v>
      </c>
    </row>
    <row r="4" spans="1:2" ht="50.1" customHeight="1" x14ac:dyDescent="0.3">
      <c r="A4" s="39" t="s">
        <v>0</v>
      </c>
      <c r="B4" s="40" t="s">
        <v>3</v>
      </c>
    </row>
    <row r="5" spans="1:2" ht="50.1" customHeight="1" thickBot="1" x14ac:dyDescent="0.35">
      <c r="A5" s="41" t="s">
        <v>1</v>
      </c>
      <c r="B5" s="50" t="s">
        <v>70</v>
      </c>
    </row>
    <row r="6" spans="1:2" ht="50.1" customHeight="1" x14ac:dyDescent="0.3"/>
    <row r="7" spans="1:2" ht="50.1" customHeight="1" thickBot="1" x14ac:dyDescent="0.35"/>
    <row r="8" spans="1:2" ht="50.1" customHeight="1" thickBot="1" x14ac:dyDescent="0.35">
      <c r="A8" s="35" t="s">
        <v>60</v>
      </c>
      <c r="B8" s="51" t="s">
        <v>54</v>
      </c>
    </row>
    <row r="9" spans="1:2" ht="50.1" customHeight="1" x14ac:dyDescent="0.3">
      <c r="A9" s="37" t="s">
        <v>2</v>
      </c>
      <c r="B9" s="47" t="s">
        <v>71</v>
      </c>
    </row>
    <row r="10" spans="1:2" ht="50.1" customHeight="1" x14ac:dyDescent="0.3">
      <c r="A10" s="39" t="s">
        <v>0</v>
      </c>
      <c r="B10" s="40" t="s">
        <v>3</v>
      </c>
    </row>
    <row r="11" spans="1:2" ht="50.1" customHeight="1" thickBot="1" x14ac:dyDescent="0.35">
      <c r="A11" s="41" t="s">
        <v>1</v>
      </c>
      <c r="B11" s="50">
        <v>718.83</v>
      </c>
    </row>
    <row r="12" spans="1:2" ht="50.1" customHeight="1" x14ac:dyDescent="0.3"/>
  </sheetData>
  <pageMargins left="0.511811024" right="0.511811024" top="0.78740157499999996" bottom="0.78740157499999996" header="0.31496062000000002" footer="0.31496062000000002"/>
  <pageSetup paperSize="9" scale="9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2F9C-6D17-48BE-BA03-F6B812635358}">
  <sheetPr>
    <pageSetUpPr fitToPage="1"/>
  </sheetPr>
  <dimension ref="A1:C34"/>
  <sheetViews>
    <sheetView topLeftCell="A22" workbookViewId="0">
      <selection activeCell="E24" sqref="E24"/>
    </sheetView>
  </sheetViews>
  <sheetFormatPr defaultRowHeight="22.5" x14ac:dyDescent="0.3"/>
  <cols>
    <col min="1" max="1" width="26.5703125" style="43" bestFit="1" customWidth="1"/>
    <col min="2" max="2" width="74.5703125" style="43" bestFit="1" customWidth="1"/>
    <col min="4" max="4" width="26.5703125" bestFit="1" customWidth="1"/>
    <col min="5" max="5" width="74.5703125" bestFit="1" customWidth="1"/>
  </cols>
  <sheetData>
    <row r="1" spans="1:3" ht="50.1" customHeight="1" thickBot="1" x14ac:dyDescent="0.35">
      <c r="A1" s="35" t="s">
        <v>60</v>
      </c>
      <c r="B1" s="36" t="s">
        <v>17</v>
      </c>
    </row>
    <row r="2" spans="1:3" ht="50.1" customHeight="1" x14ac:dyDescent="0.3">
      <c r="A2" s="37" t="s">
        <v>2</v>
      </c>
      <c r="B2" s="49" t="s">
        <v>25</v>
      </c>
    </row>
    <row r="3" spans="1:3" ht="50.1" customHeight="1" x14ac:dyDescent="0.3">
      <c r="A3" s="39" t="s">
        <v>0</v>
      </c>
      <c r="B3" s="40" t="s">
        <v>3</v>
      </c>
    </row>
    <row r="4" spans="1:3" ht="50.1" customHeight="1" thickBot="1" x14ac:dyDescent="0.35">
      <c r="A4" s="41" t="s">
        <v>1</v>
      </c>
      <c r="B4" s="42" t="s">
        <v>67</v>
      </c>
    </row>
    <row r="5" spans="1:3" ht="50.1" customHeight="1" thickBot="1" x14ac:dyDescent="0.35"/>
    <row r="6" spans="1:3" ht="50.1" customHeight="1" thickBot="1" x14ac:dyDescent="0.55000000000000004">
      <c r="A6" s="35" t="s">
        <v>60</v>
      </c>
      <c r="B6" s="36" t="s">
        <v>17</v>
      </c>
      <c r="C6" s="30"/>
    </row>
    <row r="7" spans="1:3" ht="50.1" customHeight="1" x14ac:dyDescent="0.5">
      <c r="A7" s="37" t="s">
        <v>2</v>
      </c>
      <c r="B7" s="49" t="s">
        <v>65</v>
      </c>
      <c r="C7" s="30"/>
    </row>
    <row r="8" spans="1:3" ht="50.1" customHeight="1" x14ac:dyDescent="0.5">
      <c r="A8" s="39" t="s">
        <v>0</v>
      </c>
      <c r="B8" s="40" t="s">
        <v>3</v>
      </c>
      <c r="C8" s="30"/>
    </row>
    <row r="9" spans="1:3" ht="50.1" customHeight="1" thickBot="1" x14ac:dyDescent="0.55000000000000004">
      <c r="A9" s="41" t="s">
        <v>1</v>
      </c>
      <c r="B9" s="42">
        <v>685.54</v>
      </c>
      <c r="C9" s="30"/>
    </row>
    <row r="10" spans="1:3" ht="50.1" customHeight="1" thickBot="1" x14ac:dyDescent="0.35"/>
    <row r="11" spans="1:3" ht="50.1" customHeight="1" thickBot="1" x14ac:dyDescent="0.35">
      <c r="A11" s="35" t="s">
        <v>60</v>
      </c>
      <c r="B11" s="36" t="s">
        <v>17</v>
      </c>
    </row>
    <row r="12" spans="1:3" ht="50.1" customHeight="1" x14ac:dyDescent="0.3">
      <c r="A12" s="37" t="s">
        <v>2</v>
      </c>
      <c r="B12" s="38" t="s">
        <v>27</v>
      </c>
    </row>
    <row r="13" spans="1:3" ht="50.1" customHeight="1" x14ac:dyDescent="0.3">
      <c r="A13" s="39" t="s">
        <v>0</v>
      </c>
      <c r="B13" s="40" t="s">
        <v>3</v>
      </c>
    </row>
    <row r="14" spans="1:3" ht="50.1" customHeight="1" thickBot="1" x14ac:dyDescent="0.35">
      <c r="A14" s="41" t="s">
        <v>1</v>
      </c>
      <c r="B14" s="42">
        <v>251.75</v>
      </c>
    </row>
    <row r="15" spans="1:3" ht="50.1" customHeight="1" thickBot="1" x14ac:dyDescent="0.35"/>
    <row r="16" spans="1:3" ht="50.1" customHeight="1" thickBot="1" x14ac:dyDescent="0.55000000000000004">
      <c r="A16" s="35" t="s">
        <v>60</v>
      </c>
      <c r="B16" s="36" t="s">
        <v>17</v>
      </c>
      <c r="C16" s="30"/>
    </row>
    <row r="17" spans="1:3" ht="50.1" customHeight="1" x14ac:dyDescent="0.5">
      <c r="A17" s="37" t="s">
        <v>2</v>
      </c>
      <c r="B17" s="38" t="s">
        <v>56</v>
      </c>
      <c r="C17" s="30"/>
    </row>
    <row r="18" spans="1:3" ht="50.1" customHeight="1" x14ac:dyDescent="0.5">
      <c r="A18" s="39" t="s">
        <v>0</v>
      </c>
      <c r="B18" s="40" t="s">
        <v>3</v>
      </c>
      <c r="C18" s="30"/>
    </row>
    <row r="19" spans="1:3" ht="50.1" customHeight="1" thickBot="1" x14ac:dyDescent="0.55000000000000004">
      <c r="A19" s="41" t="s">
        <v>1</v>
      </c>
      <c r="B19" s="52" t="s">
        <v>69</v>
      </c>
      <c r="C19" s="30"/>
    </row>
    <row r="20" spans="1:3" ht="50.1" customHeight="1" thickBot="1" x14ac:dyDescent="0.35"/>
    <row r="21" spans="1:3" ht="50.1" customHeight="1" thickBot="1" x14ac:dyDescent="0.35">
      <c r="A21" s="35" t="s">
        <v>60</v>
      </c>
      <c r="B21" s="36" t="s">
        <v>17</v>
      </c>
    </row>
    <row r="22" spans="1:3" ht="50.1" customHeight="1" x14ac:dyDescent="0.3">
      <c r="A22" s="37" t="s">
        <v>2</v>
      </c>
      <c r="B22" s="38" t="s">
        <v>58</v>
      </c>
    </row>
    <row r="23" spans="1:3" ht="50.1" customHeight="1" x14ac:dyDescent="0.3">
      <c r="A23" s="39" t="s">
        <v>0</v>
      </c>
      <c r="B23" s="40" t="s">
        <v>3</v>
      </c>
    </row>
    <row r="24" spans="1:3" ht="50.1" customHeight="1" thickBot="1" x14ac:dyDescent="0.35">
      <c r="A24" s="41" t="s">
        <v>1</v>
      </c>
      <c r="B24" s="42">
        <v>300</v>
      </c>
    </row>
    <row r="25" spans="1:3" ht="50.1" customHeight="1" thickBot="1" x14ac:dyDescent="0.35"/>
    <row r="26" spans="1:3" ht="50.1" customHeight="1" thickBot="1" x14ac:dyDescent="0.35">
      <c r="A26" s="35" t="s">
        <v>60</v>
      </c>
      <c r="B26" s="36" t="s">
        <v>17</v>
      </c>
    </row>
    <row r="27" spans="1:3" ht="50.1" customHeight="1" x14ac:dyDescent="0.3">
      <c r="A27" s="37" t="s">
        <v>2</v>
      </c>
      <c r="B27" s="38" t="s">
        <v>62</v>
      </c>
    </row>
    <row r="28" spans="1:3" ht="50.1" customHeight="1" x14ac:dyDescent="0.3">
      <c r="A28" s="39" t="s">
        <v>0</v>
      </c>
      <c r="B28" s="40" t="s">
        <v>3</v>
      </c>
    </row>
    <row r="29" spans="1:3" ht="50.1" customHeight="1" thickBot="1" x14ac:dyDescent="0.35">
      <c r="A29" s="41" t="s">
        <v>1</v>
      </c>
      <c r="B29" s="53">
        <v>456.39</v>
      </c>
    </row>
    <row r="30" spans="1:3" ht="50.1" customHeight="1" thickBot="1" x14ac:dyDescent="0.35"/>
    <row r="31" spans="1:3" ht="50.1" customHeight="1" thickBot="1" x14ac:dyDescent="0.35">
      <c r="A31" s="35" t="s">
        <v>60</v>
      </c>
      <c r="B31" s="36" t="s">
        <v>17</v>
      </c>
    </row>
    <row r="32" spans="1:3" ht="50.1" customHeight="1" x14ac:dyDescent="0.3">
      <c r="A32" s="37" t="s">
        <v>2</v>
      </c>
      <c r="B32" s="38" t="s">
        <v>112</v>
      </c>
    </row>
    <row r="33" spans="1:2" ht="50.1" customHeight="1" x14ac:dyDescent="0.3">
      <c r="A33" s="39" t="s">
        <v>0</v>
      </c>
      <c r="B33" s="40" t="s">
        <v>3</v>
      </c>
    </row>
    <row r="34" spans="1:2" ht="50.1" customHeight="1" thickBot="1" x14ac:dyDescent="0.35">
      <c r="A34" s="41" t="s">
        <v>1</v>
      </c>
      <c r="B34" s="53">
        <v>467.28</v>
      </c>
    </row>
  </sheetData>
  <pageMargins left="0.511811024" right="0.511811024" top="0.78740157499999996" bottom="0.78740157499999996" header="0.31496062000000002" footer="0.31496062000000002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CLT</vt:lpstr>
      <vt:lpstr>Excluido</vt:lpstr>
      <vt:lpstr>COMERCIAL</vt:lpstr>
      <vt:lpstr>LAJEADO</vt:lpstr>
      <vt:lpstr>MUTINGA</vt:lpstr>
      <vt:lpstr>BIGOSASCO</vt:lpstr>
      <vt:lpstr>SAUDE</vt:lpstr>
      <vt:lpstr>BROOKLIN</vt:lpstr>
      <vt:lpstr>MATEO BEI</vt:lpstr>
      <vt:lpstr>RAGUEB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RECURSOS HUMANOS</dc:creator>
  <cp:lastModifiedBy>RECURSOS HUMANOS</cp:lastModifiedBy>
  <cp:lastPrinted>2025-12-12T13:33:16Z</cp:lastPrinted>
  <dcterms:created xsi:type="dcterms:W3CDTF">2025-05-30T20:53:27Z</dcterms:created>
  <dcterms:modified xsi:type="dcterms:W3CDTF">2025-12-16T19:03:00Z</dcterms:modified>
</cp:coreProperties>
</file>
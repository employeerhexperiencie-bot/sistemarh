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R:\000.ATIVOS GERAL\"/>
    </mc:Choice>
  </mc:AlternateContent>
  <xr:revisionPtr revIDLastSave="0" documentId="13_ncr:1_{2980A5EB-392E-4B69-93A8-936DE4B14B34}" xr6:coauthVersionLast="47" xr6:coauthVersionMax="47" xr10:uidLastSave="{00000000-0000-0000-0000-000000000000}"/>
  <bookViews>
    <workbookView xWindow="-120" yWindow="-120" windowWidth="29040" windowHeight="15720" xr2:uid="{6C3BAC00-0A3B-43B1-A8AD-CABFE781DF6E}"/>
  </bookViews>
  <sheets>
    <sheet name="VT" sheetId="1" r:id="rId1"/>
  </sheets>
  <definedNames>
    <definedName name="_xlnm._FilterDatabase" localSheetId="0" hidden="1">VT!$A$4:$R$338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8" i="1" l="1"/>
  <c r="K338" i="1"/>
  <c r="L337" i="1"/>
  <c r="L335" i="1"/>
  <c r="K335" i="1"/>
  <c r="L334" i="1"/>
  <c r="K330" i="1"/>
  <c r="L330" i="1"/>
  <c r="L329" i="1"/>
  <c r="L333" i="1"/>
  <c r="L331" i="1"/>
  <c r="L332" i="1"/>
  <c r="L328" i="1"/>
  <c r="L327" i="1"/>
  <c r="K70" i="1"/>
  <c r="L70" i="1" s="1"/>
  <c r="L302" i="1"/>
  <c r="L44" i="1"/>
  <c r="L307" i="1"/>
  <c r="L273" i="1"/>
  <c r="L253" i="1"/>
  <c r="L246" i="1"/>
  <c r="L6" i="1"/>
  <c r="L237" i="1"/>
  <c r="L25" i="1"/>
  <c r="L287" i="1"/>
  <c r="L108" i="1"/>
  <c r="L266" i="1"/>
  <c r="L204" i="1"/>
  <c r="L81" i="1"/>
  <c r="L295" i="1"/>
  <c r="L32" i="1"/>
  <c r="L220" i="1"/>
  <c r="L180" i="1"/>
  <c r="L268" i="1"/>
  <c r="L106" i="1"/>
  <c r="L205" i="1"/>
  <c r="L159" i="1"/>
  <c r="L50" i="1"/>
  <c r="L153" i="1"/>
  <c r="L115" i="1"/>
  <c r="L22" i="1"/>
  <c r="L171" i="1"/>
  <c r="L160" i="1"/>
  <c r="L92" i="1"/>
  <c r="L252" i="1"/>
  <c r="L126" i="1"/>
  <c r="L286" i="1"/>
  <c r="L154" i="1"/>
  <c r="L114" i="1"/>
  <c r="L165" i="1"/>
  <c r="L5" i="1"/>
  <c r="L279" i="1"/>
  <c r="L194" i="1"/>
  <c r="L242" i="1"/>
  <c r="L89" i="1"/>
  <c r="L141" i="1"/>
  <c r="L96" i="1"/>
  <c r="L46" i="1"/>
  <c r="L64" i="1"/>
  <c r="L236" i="1"/>
  <c r="L256" i="1"/>
  <c r="L263" i="1"/>
  <c r="L222" i="1"/>
  <c r="L314" i="1"/>
  <c r="L297" i="1"/>
  <c r="L119" i="1"/>
  <c r="L21" i="1"/>
  <c r="L228" i="1"/>
  <c r="L223" i="1"/>
  <c r="L285" i="1"/>
  <c r="L142" i="1"/>
  <c r="L267" i="1"/>
  <c r="L107" i="1"/>
  <c r="L65" i="1"/>
  <c r="L63" i="1"/>
  <c r="L275" i="1"/>
  <c r="L51" i="1"/>
  <c r="L271" i="1"/>
  <c r="L146" i="1"/>
  <c r="L217" i="1"/>
  <c r="L27" i="1"/>
  <c r="L137" i="1"/>
  <c r="L209" i="1"/>
  <c r="L66" i="1"/>
  <c r="L35" i="1"/>
  <c r="L162" i="1"/>
  <c r="L38" i="1"/>
  <c r="L186" i="1"/>
  <c r="L288" i="1"/>
  <c r="L296" i="1"/>
  <c r="L261" i="1"/>
  <c r="L172" i="1"/>
  <c r="L58" i="1"/>
  <c r="L289" i="1"/>
  <c r="L130" i="1"/>
  <c r="L177" i="1"/>
  <c r="L169" i="1"/>
  <c r="L251" i="1"/>
  <c r="L121" i="1"/>
  <c r="L74" i="1"/>
  <c r="L202" i="1"/>
  <c r="L14" i="1"/>
  <c r="L225" i="1"/>
  <c r="L274" i="1"/>
  <c r="L208" i="1"/>
  <c r="L326" i="1"/>
  <c r="L317" i="1"/>
  <c r="L37" i="1"/>
  <c r="L226" i="1"/>
  <c r="L313" i="1"/>
  <c r="L76" i="1"/>
  <c r="L138" i="1"/>
  <c r="L238" i="1"/>
  <c r="L117" i="1"/>
  <c r="L173" i="1"/>
  <c r="L98" i="1"/>
  <c r="L300" i="1"/>
  <c r="L11" i="1"/>
  <c r="L129" i="1"/>
  <c r="L123" i="1"/>
  <c r="L206" i="1"/>
  <c r="L301" i="1"/>
  <c r="L231" i="1"/>
  <c r="L84" i="1"/>
  <c r="L219" i="1"/>
  <c r="L124" i="1"/>
  <c r="L77" i="1"/>
  <c r="L45" i="1"/>
  <c r="L54" i="1"/>
  <c r="L179" i="1"/>
  <c r="L72" i="1"/>
  <c r="L166" i="1"/>
  <c r="L85" i="1"/>
  <c r="L191" i="1"/>
  <c r="L87" i="1"/>
  <c r="L318" i="1"/>
  <c r="L221" i="1"/>
  <c r="L133" i="1"/>
  <c r="L102" i="1"/>
  <c r="L197" i="1"/>
  <c r="L178" i="1"/>
  <c r="L19" i="1"/>
  <c r="L311" i="1"/>
  <c r="L132" i="1"/>
  <c r="L170" i="1"/>
  <c r="L262" i="1"/>
  <c r="L243" i="1"/>
  <c r="L147" i="1"/>
  <c r="L299" i="1"/>
  <c r="L52" i="1"/>
  <c r="L259" i="1"/>
  <c r="L7" i="1"/>
  <c r="L17" i="1"/>
  <c r="L304" i="1"/>
  <c r="L292" i="1"/>
  <c r="L110" i="1"/>
  <c r="L270" i="1"/>
  <c r="L244" i="1"/>
  <c r="L144" i="1"/>
  <c r="L309" i="1"/>
  <c r="L303" i="1"/>
  <c r="L122" i="1"/>
  <c r="L127" i="1"/>
  <c r="L290" i="1"/>
  <c r="L86" i="1"/>
  <c r="L31" i="1"/>
  <c r="L135" i="1"/>
  <c r="L33" i="1"/>
  <c r="L131" i="1"/>
  <c r="L210" i="1"/>
  <c r="L211" i="1"/>
  <c r="L322" i="1"/>
  <c r="L140" i="1"/>
  <c r="L278" i="1"/>
  <c r="L277" i="1"/>
  <c r="L79" i="1"/>
  <c r="L161" i="1"/>
  <c r="L68" i="1"/>
  <c r="L234" i="1"/>
  <c r="L325" i="1"/>
  <c r="L195" i="1"/>
  <c r="L215" i="1"/>
  <c r="L41" i="1"/>
  <c r="L265" i="1"/>
  <c r="L175" i="1"/>
  <c r="L187" i="1"/>
  <c r="L59" i="1"/>
  <c r="L125" i="1"/>
  <c r="L150" i="1"/>
  <c r="L239" i="1"/>
  <c r="L198" i="1"/>
  <c r="L312" i="1"/>
  <c r="L229" i="1"/>
  <c r="L71" i="1"/>
  <c r="L323" i="1"/>
  <c r="L176" i="1"/>
  <c r="L55" i="1"/>
  <c r="L128" i="1"/>
  <c r="L319" i="1"/>
  <c r="L235" i="1"/>
  <c r="L190" i="1"/>
  <c r="L282" i="1"/>
  <c r="L188" i="1"/>
  <c r="L315" i="1"/>
  <c r="L94" i="1"/>
  <c r="L60" i="1"/>
  <c r="L69" i="1"/>
  <c r="L49" i="1"/>
  <c r="L40" i="1"/>
  <c r="L200" i="1"/>
  <c r="L23" i="1"/>
  <c r="L174" i="1"/>
  <c r="L43" i="1"/>
  <c r="L111" i="1"/>
  <c r="L240" i="1"/>
  <c r="L203" i="1"/>
  <c r="L29" i="1"/>
  <c r="L232" i="1"/>
  <c r="L16" i="1"/>
  <c r="L56" i="1"/>
  <c r="L48" i="1"/>
  <c r="L10" i="1"/>
  <c r="L30" i="1"/>
  <c r="L57" i="1"/>
  <c r="L116" i="1"/>
  <c r="L189" i="1"/>
  <c r="L88" i="1"/>
  <c r="L181" i="1"/>
  <c r="L9" i="1"/>
  <c r="L283" i="1"/>
  <c r="L36" i="1"/>
  <c r="L201" i="1"/>
  <c r="L91" i="1"/>
  <c r="L101" i="1"/>
  <c r="L324" i="1"/>
  <c r="L80" i="1"/>
  <c r="L139" i="1"/>
  <c r="L47" i="1"/>
  <c r="L321" i="1"/>
  <c r="L67" i="1"/>
  <c r="L185" i="1"/>
  <c r="L183" i="1"/>
  <c r="L250" i="1"/>
  <c r="L316" i="1"/>
  <c r="L20" i="1"/>
  <c r="L218" i="1"/>
  <c r="L182" i="1"/>
  <c r="L298" i="1"/>
  <c r="K97" i="1"/>
  <c r="L97" i="1" s="1"/>
  <c r="K308" i="1"/>
  <c r="L308" i="1" s="1"/>
  <c r="K284" i="1"/>
  <c r="L284" i="1" s="1"/>
  <c r="K136" i="1"/>
  <c r="L136" i="1" s="1"/>
  <c r="K28" i="1"/>
  <c r="L28" i="1" s="1"/>
  <c r="K272" i="1"/>
  <c r="L272" i="1" s="1"/>
  <c r="K13" i="1"/>
  <c r="L13" i="1" s="1"/>
  <c r="K245" i="1"/>
  <c r="L245" i="1" s="1"/>
  <c r="K213" i="1"/>
  <c r="L213" i="1" s="1"/>
  <c r="K34" i="1"/>
  <c r="L34" i="1" s="1"/>
  <c r="K167" i="1"/>
  <c r="L167" i="1" s="1"/>
  <c r="K294" i="1"/>
  <c r="L294" i="1" s="1"/>
  <c r="K248" i="1"/>
  <c r="L248" i="1" s="1"/>
  <c r="K320" i="1"/>
  <c r="L320" i="1" s="1"/>
  <c r="K216" i="1"/>
  <c r="L216" i="1" s="1"/>
  <c r="K281" i="1"/>
  <c r="L281" i="1" s="1"/>
  <c r="K15" i="1"/>
  <c r="L15" i="1" s="1"/>
  <c r="K192" i="1"/>
  <c r="L192" i="1" s="1"/>
  <c r="K18" i="1"/>
  <c r="L18" i="1" s="1"/>
  <c r="K109" i="1"/>
  <c r="L109" i="1" s="1"/>
  <c r="K90" i="1"/>
  <c r="L90" i="1" s="1"/>
  <c r="K258" i="1"/>
  <c r="L258" i="1" s="1"/>
  <c r="K291" i="1"/>
  <c r="L291" i="1" s="1"/>
  <c r="K199" i="1"/>
  <c r="L199" i="1" s="1"/>
  <c r="K276" i="1"/>
  <c r="L276" i="1" s="1"/>
  <c r="K269" i="1"/>
  <c r="L269" i="1" s="1"/>
  <c r="K8" i="1"/>
  <c r="L8" i="1" s="1"/>
  <c r="K73" i="1"/>
  <c r="L73" i="1" s="1"/>
  <c r="K112" i="1"/>
  <c r="L112" i="1" s="1"/>
  <c r="K264" i="1"/>
  <c r="L264" i="1" s="1"/>
  <c r="K148" i="1"/>
  <c r="L148" i="1" s="1"/>
  <c r="K249" i="1"/>
  <c r="L249" i="1" s="1"/>
  <c r="K260" i="1"/>
  <c r="L260" i="1" s="1"/>
  <c r="K103" i="1"/>
  <c r="L103" i="1" s="1"/>
  <c r="K12" i="1"/>
  <c r="L12" i="1" s="1"/>
  <c r="K143" i="1"/>
  <c r="L143" i="1" s="1"/>
  <c r="K134" i="1"/>
  <c r="L134" i="1" s="1"/>
  <c r="K207" i="1"/>
  <c r="L207" i="1" s="1"/>
  <c r="K214" i="1"/>
  <c r="L214" i="1" s="1"/>
  <c r="K254" i="1"/>
  <c r="L254" i="1" s="1"/>
  <c r="K212" i="1"/>
  <c r="L212" i="1" s="1"/>
  <c r="K61" i="1"/>
  <c r="L61" i="1" s="1"/>
  <c r="K155" i="1"/>
  <c r="L155" i="1" s="1"/>
  <c r="K230" i="1"/>
  <c r="L230" i="1" s="1"/>
  <c r="K42" i="1"/>
  <c r="L42" i="1" s="1"/>
  <c r="K196" i="1"/>
  <c r="L196" i="1" s="1"/>
  <c r="K26" i="1"/>
  <c r="L26" i="1" s="1"/>
  <c r="K75" i="1"/>
  <c r="L75" i="1" s="1"/>
  <c r="K118" i="1"/>
  <c r="L118" i="1" s="1"/>
  <c r="K99" i="1"/>
  <c r="L99" i="1" s="1"/>
  <c r="K113" i="1"/>
  <c r="L113" i="1" s="1"/>
  <c r="K310" i="1"/>
  <c r="L310" i="1" s="1"/>
  <c r="K193" i="1"/>
  <c r="L193" i="1" s="1"/>
  <c r="K163" i="1"/>
  <c r="L163" i="1" s="1"/>
  <c r="K158" i="1"/>
  <c r="L158" i="1" s="1"/>
  <c r="K157" i="1"/>
  <c r="L157" i="1" s="1"/>
  <c r="K152" i="1"/>
  <c r="L152" i="1" s="1"/>
  <c r="K53" i="1"/>
  <c r="L53" i="1" s="1"/>
  <c r="K149" i="1"/>
  <c r="L149" i="1" s="1"/>
  <c r="K306" i="1"/>
  <c r="L306" i="1" s="1"/>
  <c r="K184" i="1"/>
  <c r="L184" i="1" s="1"/>
  <c r="K83" i="1"/>
  <c r="L83" i="1" s="1"/>
  <c r="K93" i="1"/>
  <c r="L93" i="1" s="1"/>
  <c r="K151" i="1"/>
  <c r="L151" i="1" s="1"/>
  <c r="K227" i="1"/>
  <c r="L227" i="1" s="1"/>
  <c r="K100" i="1"/>
  <c r="L100" i="1" s="1"/>
  <c r="K62" i="1"/>
  <c r="L62" i="1" s="1"/>
  <c r="K156" i="1"/>
  <c r="L156" i="1" s="1"/>
  <c r="K293" i="1"/>
  <c r="L293" i="1" s="1"/>
  <c r="K247" i="1"/>
  <c r="L247" i="1" s="1"/>
  <c r="K241" i="1"/>
  <c r="L241" i="1" s="1"/>
  <c r="K280" i="1"/>
  <c r="L280" i="1" s="1"/>
  <c r="K224" i="1"/>
  <c r="L224" i="1" s="1"/>
  <c r="K104" i="1"/>
  <c r="L104" i="1" s="1"/>
  <c r="K255" i="1"/>
  <c r="L255" i="1" s="1"/>
  <c r="K145" i="1"/>
  <c r="L145" i="1" s="1"/>
  <c r="K305" i="1"/>
  <c r="L305" i="1" s="1"/>
  <c r="K233" i="1"/>
  <c r="L233" i="1" s="1"/>
  <c r="K168" i="1"/>
  <c r="L168" i="1" s="1"/>
  <c r="K95" i="1"/>
  <c r="L95" i="1" s="1"/>
  <c r="K257" i="1"/>
  <c r="L257" i="1" s="1"/>
  <c r="K120" i="1"/>
  <c r="L120" i="1" s="1"/>
  <c r="K24" i="1"/>
  <c r="L24" i="1" s="1"/>
  <c r="K164" i="1"/>
  <c r="L164" i="1" s="1"/>
  <c r="K78" i="1"/>
  <c r="L78" i="1" s="1"/>
  <c r="K82" i="1"/>
  <c r="L82" i="1" s="1"/>
  <c r="K39" i="1"/>
  <c r="L39" i="1" s="1"/>
  <c r="K105" i="1"/>
  <c r="L10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tc={FD04489E-F843-442A-963E-D3D63E0DD552}</author>
    <author>tc={9E0B72B8-2093-41CC-8985-9757491057A2}</author>
    <author>tc={88EE5C47-FA16-4E84-8468-A9E6FB885CE1}</author>
  </authors>
  <commentList>
    <comment ref="C110" authorId="0" shapeId="0" xr:uid="{FD04489E-F843-442A-963E-D3D63E0DD55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24/03 inicio loja, sofreu acidente 04/06 estava recebendo sg desemprego, voltou dia 04/07.
</t>
      </text>
    </comment>
    <comment ref="G193" authorId="1" shapeId="0" xr:uid="{9E0B72B8-2093-41CC-8985-9757491057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TRANSF EM 03/10/2025</t>
      </text>
    </comment>
    <comment ref="J214" authorId="2" shapeId="0" xr:uid="{88EE5C47-FA16-4E84-8468-A9E6FB885C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ALTERADO EM 28 11 2025 A PEDIDO DO COLABORADOR. DOC PASTA</t>
      </text>
    </comment>
  </commentList>
</comments>
</file>

<file path=xl/sharedStrings.xml><?xml version="1.0" encoding="utf-8"?>
<sst xmlns="http://schemas.openxmlformats.org/spreadsheetml/2006/main" count="3495" uniqueCount="869">
  <si>
    <t>Nº MATRICULA</t>
  </si>
  <si>
    <t>NOME</t>
  </si>
  <si>
    <t>04-50</t>
  </si>
  <si>
    <t>FRANCISCO ALVES AMARAL</t>
  </si>
  <si>
    <t>01-38</t>
  </si>
  <si>
    <t>MARLUCI MAIA DE MOURA</t>
  </si>
  <si>
    <t>LP06/0342</t>
  </si>
  <si>
    <t>ARIEDSON CONCEIÇÃO DA CRUZ</t>
  </si>
  <si>
    <t>01-50</t>
  </si>
  <si>
    <t>ANA PAULA SILVA</t>
  </si>
  <si>
    <t>02-06</t>
  </si>
  <si>
    <t>SANDRO RONALDO DOS SANTOS</t>
  </si>
  <si>
    <t>02-14</t>
  </si>
  <si>
    <t>FRANCISCO DE ASSIS LIMA DA COSTA</t>
  </si>
  <si>
    <t>03-32</t>
  </si>
  <si>
    <t>REGINALDO MONTEIRO DOS SANTOS</t>
  </si>
  <si>
    <t>02-20</t>
  </si>
  <si>
    <t>LUCIANA FERREIRA MARTINS</t>
  </si>
  <si>
    <t>RG10/0531</t>
  </si>
  <si>
    <t>EDNA ROSA VIEIRA FERREIRA</t>
  </si>
  <si>
    <t>01-05</t>
  </si>
  <si>
    <t>EDIVANIA JOSINA DA SILVA</t>
  </si>
  <si>
    <t>02-37</t>
  </si>
  <si>
    <t>VALDINEI DE JESUS SANTOS</t>
  </si>
  <si>
    <t>SD/18/0206</t>
  </si>
  <si>
    <t>EDINALDO MANOEL SANTIAGO DE LIMA</t>
  </si>
  <si>
    <t>02-41</t>
  </si>
  <si>
    <t>SIMONE SOARES XAVIER</t>
  </si>
  <si>
    <t>02-40</t>
  </si>
  <si>
    <t>JOSE FRANCISCO SALES NETO</t>
  </si>
  <si>
    <t>TB27/0127</t>
  </si>
  <si>
    <t>ANA LUCIA DA SILVA ARAUJO</t>
  </si>
  <si>
    <t>TB27/0134</t>
  </si>
  <si>
    <t>GUILHERME FELINTO LOPES</t>
  </si>
  <si>
    <t>SD18/0240</t>
  </si>
  <si>
    <t>BRUNO MODESTO PASSOS</t>
  </si>
  <si>
    <t>01--29</t>
  </si>
  <si>
    <t>PEDRO LUIZ AMERICO RAINHA</t>
  </si>
  <si>
    <t>03-26</t>
  </si>
  <si>
    <t>ANTONIO CUSTODIO DA SILVA</t>
  </si>
  <si>
    <t>SD18/0250</t>
  </si>
  <si>
    <t>EVERTON BARBOSA DOS SANTOS</t>
  </si>
  <si>
    <t>03-42</t>
  </si>
  <si>
    <t>MARIA APARECIDA MAIA MOURA</t>
  </si>
  <si>
    <t>LP06/0715</t>
  </si>
  <si>
    <t>JUSCELINO ALVES DOS SANTOS</t>
  </si>
  <si>
    <t>LP06/0712</t>
  </si>
  <si>
    <t>RENATO HENRIQUE DA SILVA</t>
  </si>
  <si>
    <t>SD18/03080</t>
  </si>
  <si>
    <t>FRANCISCO ANTONIO DE ARAUJO FILHO</t>
  </si>
  <si>
    <t>04-21</t>
  </si>
  <si>
    <t>LUCIANA SOARES ABADE CARVALHO</t>
  </si>
  <si>
    <t>04-27</t>
  </si>
  <si>
    <t>JOSE DAMIAO RICARTE</t>
  </si>
  <si>
    <t>RG10/0419</t>
  </si>
  <si>
    <t>JOSE LOURINALDO CALADO DA SILVA</t>
  </si>
  <si>
    <t>SD18/0335</t>
  </si>
  <si>
    <t>CIRILO SANTOS DE OLIVEIRA</t>
  </si>
  <si>
    <t>TB27/0334</t>
  </si>
  <si>
    <t>MARIA RIBEIRO DE AQUINO</t>
  </si>
  <si>
    <t>RG10/0412</t>
  </si>
  <si>
    <t>JORGE PEREIRA RIBEIRO</t>
  </si>
  <si>
    <t>BC31/0139</t>
  </si>
  <si>
    <t>VALDEMAR RODRIGUES DOS SANTOS</t>
  </si>
  <si>
    <t>04-44</t>
  </si>
  <si>
    <t>GILMAR SOARES RODRIGUES</t>
  </si>
  <si>
    <t>RG10/0425</t>
  </si>
  <si>
    <t>ALOIZIO JORGE DE MELO</t>
  </si>
  <si>
    <t>LP06/0804</t>
  </si>
  <si>
    <t>JOSE SATURNINO DE BARROS</t>
  </si>
  <si>
    <t>LP06/0805</t>
  </si>
  <si>
    <t>JOSE ERINALDO DA SILVA</t>
  </si>
  <si>
    <t>05-02</t>
  </si>
  <si>
    <t>ERIK GONCALVES ZOLIM</t>
  </si>
  <si>
    <t>SD18/0350</t>
  </si>
  <si>
    <t>OSNIR LEMOS GOMES</t>
  </si>
  <si>
    <t>LP06/0808</t>
  </si>
  <si>
    <t>JOCIENE NASCIMENTO DOS SANTOS</t>
  </si>
  <si>
    <t>BC31/0211</t>
  </si>
  <si>
    <t>HUDSON DA COSTA SALGADO</t>
  </si>
  <si>
    <t>LP06/0821</t>
  </si>
  <si>
    <t>SANDRO APARECIDO FERREIRA SANTOS</t>
  </si>
  <si>
    <t>LP06/0822</t>
  </si>
  <si>
    <t>PAULO TEIXEIRA PINTO</t>
  </si>
  <si>
    <t>LP06/0823</t>
  </si>
  <si>
    <t>FRANCISCA EUZILENE RODRIGUES</t>
  </si>
  <si>
    <t>05-04</t>
  </si>
  <si>
    <t>JOSE ADEVALDO SILVA DE JESUS</t>
  </si>
  <si>
    <t>LP06/0826</t>
  </si>
  <si>
    <t>MARIA DAS GRAÇAS FERREIRA DA SILVA</t>
  </si>
  <si>
    <t>TB27/0421</t>
  </si>
  <si>
    <t>ROSINETE DOS SANTOS MACIEL</t>
  </si>
  <si>
    <t>RG10/0443</t>
  </si>
  <si>
    <t>GILMAR ALVES DOS SANTOS</t>
  </si>
  <si>
    <t>TB27/0419</t>
  </si>
  <si>
    <t>MATHEUS SOUSA GOMES</t>
  </si>
  <si>
    <t>LP06/0834</t>
  </si>
  <si>
    <t>MONICA AVELAR DE JESUS</t>
  </si>
  <si>
    <t>BC31/0217</t>
  </si>
  <si>
    <t>SILVIA FERREIRA LOPES PIOZZEK</t>
  </si>
  <si>
    <t>LP06/0843</t>
  </si>
  <si>
    <t>JOSE HENRIQUE DA SILVA</t>
  </si>
  <si>
    <t>RG10/0447</t>
  </si>
  <si>
    <t>ABEL DE JESUS OLIVEIRA</t>
  </si>
  <si>
    <t>LP06/0839</t>
  </si>
  <si>
    <t>JOSE BATISTA FREIRES FERREIRA</t>
  </si>
  <si>
    <t>LP06/0841</t>
  </si>
  <si>
    <t>ROSILDA MARIA DORO COELHO</t>
  </si>
  <si>
    <t>LP06/0840</t>
  </si>
  <si>
    <t>DAMIAO SILVA</t>
  </si>
  <si>
    <t>SD/180439</t>
  </si>
  <si>
    <t>FERNANDO SOUZA SANTOS</t>
  </si>
  <si>
    <t>BC31/0218</t>
  </si>
  <si>
    <t>LEANDRO RODRIGUES FEITOZA</t>
  </si>
  <si>
    <t>BC31/0221</t>
  </si>
  <si>
    <t>MAURINA ETELVINA DA ROCHA</t>
  </si>
  <si>
    <t>LP06/0902</t>
  </si>
  <si>
    <t>ELIVANIA ALVES DE BRITO ALENCAR</t>
  </si>
  <si>
    <t>LP06/0846</t>
  </si>
  <si>
    <t>JOANA CRISTINA PEREIRA DA SILVA</t>
  </si>
  <si>
    <t>LP06/0847</t>
  </si>
  <si>
    <t>EVERTON RICARDO DA SILVA</t>
  </si>
  <si>
    <t>05-18</t>
  </si>
  <si>
    <t>CARINE DA SILVA DOS SANTOS</t>
  </si>
  <si>
    <t>05-17</t>
  </si>
  <si>
    <t>DANIELA MENEZES CAMPOS DE JESUS</t>
  </si>
  <si>
    <t>05-20</t>
  </si>
  <si>
    <t>MARIVAN TELES DOS SANTOS</t>
  </si>
  <si>
    <t>05-19</t>
  </si>
  <si>
    <t>PEDRO LUCAS RICARTE PAIVA</t>
  </si>
  <si>
    <t>LP06/0903</t>
  </si>
  <si>
    <t>RANIELLE DOS SANTOS COSTA</t>
  </si>
  <si>
    <t>SD18/0445</t>
  </si>
  <si>
    <t>MARIA IMACULADA DA SILVA</t>
  </si>
  <si>
    <t>BC31/0224</t>
  </si>
  <si>
    <t>JONATHAN SOUSA DE MORAES</t>
  </si>
  <si>
    <t>RG10/0509</t>
  </si>
  <si>
    <t>DIANA DA SILVA NAGATANI</t>
  </si>
  <si>
    <t>LP06/0906</t>
  </si>
  <si>
    <t>ERINALDO MARTINS DA SILVA</t>
  </si>
  <si>
    <t>LP06/0907</t>
  </si>
  <si>
    <t>EDNALDO PIRES BENTENCURT</t>
  </si>
  <si>
    <t>LP06/0910</t>
  </si>
  <si>
    <t>OTACILIO SOARES NOGUEIRA</t>
  </si>
  <si>
    <t>LP06/0911</t>
  </si>
  <si>
    <t>MARIA DA CONCEIÇÃO HONORATO BARBOSA</t>
  </si>
  <si>
    <t>RG10/0515</t>
  </si>
  <si>
    <t>VIVIANE SOUZA DOS SANTOS</t>
  </si>
  <si>
    <t>SD18/0505</t>
  </si>
  <si>
    <t>TALITA PINHEIRO VIERA</t>
  </si>
  <si>
    <t>05-26</t>
  </si>
  <si>
    <t>GUILHERME ALVES DE OLIVEIRA</t>
  </si>
  <si>
    <t>TB27/0433</t>
  </si>
  <si>
    <t>KAUA VICTOR SOUZA CREPALDE</t>
  </si>
  <si>
    <t>RG10/0524</t>
  </si>
  <si>
    <t>ALEXIA SAYONARA SANTOS SILVA SANTANA</t>
  </si>
  <si>
    <t>01-08</t>
  </si>
  <si>
    <t>MARIA IRINEIA DE LIMA</t>
  </si>
  <si>
    <t>SD18/0517</t>
  </si>
  <si>
    <t>VALDENICE ROCHA LOPES</t>
  </si>
  <si>
    <t>RG10/0526</t>
  </si>
  <si>
    <t>JOILSON DOS SANTOS RODRIGUES</t>
  </si>
  <si>
    <t>01-09</t>
  </si>
  <si>
    <t>MARIA DAS DORES DE LIMA SILVA</t>
  </si>
  <si>
    <t>RG10/0527</t>
  </si>
  <si>
    <t>SANDRA NUNES TENORIO DE SOUZA</t>
  </si>
  <si>
    <t>RG10/0533</t>
  </si>
  <si>
    <t>CLEBSON BORGES DE MACEDO</t>
  </si>
  <si>
    <t>TB27/0438</t>
  </si>
  <si>
    <t>JORGE LUIZ SILVA MARTINS</t>
  </si>
  <si>
    <t>LP06/0926</t>
  </si>
  <si>
    <t>JOSE CARLOS HENRIQUE DO NASCIMENTO</t>
  </si>
  <si>
    <t>SD18/0525</t>
  </si>
  <si>
    <t>JOSE CLEZIO DA SILVA JESUS</t>
  </si>
  <si>
    <t>01-03</t>
  </si>
  <si>
    <t>JOAO ANTONIO MARQUES</t>
  </si>
  <si>
    <t>RG10/0530</t>
  </si>
  <si>
    <t>REGINALDO VILAR GOMES</t>
  </si>
  <si>
    <t>SD18/0515</t>
  </si>
  <si>
    <t>JOSE FILHO MARCOS DA COSTA</t>
  </si>
  <si>
    <t>SD18/0514</t>
  </si>
  <si>
    <t>FRANCISCO CLEITON VIEIRA DO NASCIMENTO</t>
  </si>
  <si>
    <t>TB27/0441</t>
  </si>
  <si>
    <t>LAYLSON GONCALVES SILVA</t>
  </si>
  <si>
    <t>RG10/0225</t>
  </si>
  <si>
    <t>DANIELLE ALVES DA SILVA</t>
  </si>
  <si>
    <t>01-04</t>
  </si>
  <si>
    <t>DANIEL NASCIMENTO AMARAL</t>
  </si>
  <si>
    <t>BC31/0234</t>
  </si>
  <si>
    <t>ROMULO ALEXANDRE DE BRITO CORREIA</t>
  </si>
  <si>
    <t>01-06</t>
  </si>
  <si>
    <t>CIRLENE DE SOUZA PERON</t>
  </si>
  <si>
    <t>LP06/0924</t>
  </si>
  <si>
    <t>ROBERTO WAGNER DE MELO</t>
  </si>
  <si>
    <t>SD18/0522</t>
  </si>
  <si>
    <t>JODEILSON SILVA DIAS</t>
  </si>
  <si>
    <t>SD18/0520</t>
  </si>
  <si>
    <t>MARCO ANTONIO FLORIANO DE CARVALHO SOUSA</t>
  </si>
  <si>
    <t>01-10</t>
  </si>
  <si>
    <t>ANANDA PONTES MARCAL</t>
  </si>
  <si>
    <t>01-24</t>
  </si>
  <si>
    <t xml:space="preserve">JEFFERSON DE MOURA ALVES </t>
  </si>
  <si>
    <t>01-13</t>
  </si>
  <si>
    <t>LUCKSON DORCEUS</t>
  </si>
  <si>
    <t>DANILO ALMEIDA DOS SANTOS</t>
  </si>
  <si>
    <t>01-18</t>
  </si>
  <si>
    <t>ANTONIO NOGUEIRA SOBRINHO</t>
  </si>
  <si>
    <t>01-07</t>
  </si>
  <si>
    <t>JOSE FERNANDO GUEIROS DA SILVA</t>
  </si>
  <si>
    <t>01-02</t>
  </si>
  <si>
    <t>ARIANE SOUZA DE OLIVEIRA</t>
  </si>
  <si>
    <t>KELLY MESSIAS DOS SANTOS SILVA</t>
  </si>
  <si>
    <t>01-14</t>
  </si>
  <si>
    <t>SARA PEREIRA DA SILVA</t>
  </si>
  <si>
    <t>TAINA DE JESUS DA SILVA</t>
  </si>
  <si>
    <t>01-17</t>
  </si>
  <si>
    <t>RAFAEL RIBEIRO SOUSA</t>
  </si>
  <si>
    <t>JOSEFA MARIA DE LIMA</t>
  </si>
  <si>
    <t xml:space="preserve">CRISTIANE BARBOSA LIMA GOMES </t>
  </si>
  <si>
    <t>01-16</t>
  </si>
  <si>
    <t>SARAH PEREIRA MACHADO</t>
  </si>
  <si>
    <t>VANESSA MARTINHA DO NASCIMENTO</t>
  </si>
  <si>
    <t>IRENE FERREIRA DOS SANTOS</t>
  </si>
  <si>
    <t>JOYCICLEIA MACHADO OLIVEIRA</t>
  </si>
  <si>
    <t>JOSE RAFAEL SILVA DE ARAUJO</t>
  </si>
  <si>
    <t>SD18/0523</t>
  </si>
  <si>
    <t>ORLENE DA SILVA CARVALHO</t>
  </si>
  <si>
    <t>01-12</t>
  </si>
  <si>
    <t>GUILHERME FRANCISCO BUENO</t>
  </si>
  <si>
    <t>DOMINIQUE STEFANE FERREIRA DA SILVA</t>
  </si>
  <si>
    <t>LUCAS GOES DA SILVA</t>
  </si>
  <si>
    <t>01-30</t>
  </si>
  <si>
    <t>TATIANE PEREIRA SOUZA DA ROSA</t>
  </si>
  <si>
    <t>ALESSANDRA DO NASCIMENTO SANTOS JORGE</t>
  </si>
  <si>
    <t>LP06/0927</t>
  </si>
  <si>
    <t>GERSON DA SILVA SOARES</t>
  </si>
  <si>
    <t>BC31/0237</t>
  </si>
  <si>
    <t>MARIA DO CARMO DE SOUSA BONFIM</t>
  </si>
  <si>
    <t>RODRIGO DA SILVA COSTA</t>
  </si>
  <si>
    <t>LUCINEIA PEREIRA DOS SANTOS</t>
  </si>
  <si>
    <t>TB27/0444</t>
  </si>
  <si>
    <t>FELIPE DOS SANTOS BARBOSA</t>
  </si>
  <si>
    <t>01-19</t>
  </si>
  <si>
    <t xml:space="preserve">YASMIN ALVES DO NASCIMENTO </t>
  </si>
  <si>
    <t>LP06/0929</t>
  </si>
  <si>
    <t>GLAUCIA MODESTO VARGAS</t>
  </si>
  <si>
    <t>01-27</t>
  </si>
  <si>
    <t>WANDERSON ALMEIDA DE OLIVEIRA</t>
  </si>
  <si>
    <t>TB27/0445</t>
  </si>
  <si>
    <t>ANTONIO RICARDO FERREIRA DE MELO</t>
  </si>
  <si>
    <t>RODRIGO ANULINO MOREIRA</t>
  </si>
  <si>
    <t>01-11</t>
  </si>
  <si>
    <t>MARIA EDUARDA GONÇALVES ALMEIDA</t>
  </si>
  <si>
    <t>VIVIANE MARIA DE JESUS</t>
  </si>
  <si>
    <t>DYENNE CICERA DE ARAUJO LOPES</t>
  </si>
  <si>
    <t>01-28</t>
  </si>
  <si>
    <t>JHONATAN CIPRIANO DA SILVA</t>
  </si>
  <si>
    <t>BC31/0242</t>
  </si>
  <si>
    <t>MARTA MARIA DA SILVA</t>
  </si>
  <si>
    <t>05-37</t>
  </si>
  <si>
    <t>GILVANEIDE DOS SANTOS TEIXEIRA</t>
  </si>
  <si>
    <t>01-23</t>
  </si>
  <si>
    <t>JOSELIA PEREIRA DA SILVA</t>
  </si>
  <si>
    <t>01-25</t>
  </si>
  <si>
    <t>FABIO ANTONIO TAVARES MARINHO</t>
  </si>
  <si>
    <t xml:space="preserve">TATIANA COSTA OLIVEIRA VIANA </t>
  </si>
  <si>
    <t>01-26</t>
  </si>
  <si>
    <t>ADRIELLY THAYNA FERREIRA DE SOUZA</t>
  </si>
  <si>
    <t>BC31/0247</t>
  </si>
  <si>
    <t>DONIZETE DO ESPIRITO SANTOS</t>
  </si>
  <si>
    <t>SD18/0536</t>
  </si>
  <si>
    <t>IRENE DE SOUSA OLIVEIRA CRUZ</t>
  </si>
  <si>
    <t>GUSTAVO DOS SANTOS LOPES DA SILVA</t>
  </si>
  <si>
    <t>LUCIARA GOMES DA SILVA</t>
  </si>
  <si>
    <t>01-20</t>
  </si>
  <si>
    <t>TATIANE INGRID JESUS DO NASCIMENTO</t>
  </si>
  <si>
    <t>RG10/0543</t>
  </si>
  <si>
    <t>MARIA LENI DE MATOS SANTANA</t>
  </si>
  <si>
    <t>LP06/0945</t>
  </si>
  <si>
    <t>EDSON FERREIRA NEVES</t>
  </si>
  <si>
    <t>BC31/0249</t>
  </si>
  <si>
    <t>MARDONIO RIBEIRO SOUZA</t>
  </si>
  <si>
    <t>TB27/0449</t>
  </si>
  <si>
    <t>ANAEL LOPES DE OLIVEIRA</t>
  </si>
  <si>
    <t>03-18</t>
  </si>
  <si>
    <t xml:space="preserve">HILDETE OLIVEIRA MARTINS </t>
  </si>
  <si>
    <t>RG10/0541</t>
  </si>
  <si>
    <t>LEILSON DA SILVA ALVES</t>
  </si>
  <si>
    <t>EDIELIN KAROLINE COSTA</t>
  </si>
  <si>
    <t>BC31/0303</t>
  </si>
  <si>
    <t>CAMILLY DE FREITAS DOS SANTOS</t>
  </si>
  <si>
    <t>BC31/0250</t>
  </si>
  <si>
    <t>CLEIDSON WEVERTON DA SILVA</t>
  </si>
  <si>
    <t>JULIA FREITAS DA SILVA</t>
  </si>
  <si>
    <t>LP06/0939</t>
  </si>
  <si>
    <t>DIEGO FELIPE DE MACEDO LEMES</t>
  </si>
  <si>
    <t>TB27/0502</t>
  </si>
  <si>
    <t>BRUNO DOS SANTOS PINTO</t>
  </si>
  <si>
    <t>01-31</t>
  </si>
  <si>
    <t>EDUARDO HENRIQUE LADEIA SANTOS</t>
  </si>
  <si>
    <t>LARISSA OLIVEIRA DE CAMARGO</t>
  </si>
  <si>
    <t>01-32</t>
  </si>
  <si>
    <t>ELDER CINQUEPALMI BORGES</t>
  </si>
  <si>
    <t>WELLINGTON ALESSANDRO VENANCIO DIAS</t>
  </si>
  <si>
    <t>05-40</t>
  </si>
  <si>
    <t>MARIA CICERA SALES</t>
  </si>
  <si>
    <t>RG10/0545</t>
  </si>
  <si>
    <t>JACKSON MATOS SANTOS</t>
  </si>
  <si>
    <t>TB27/0503</t>
  </si>
  <si>
    <t>MARIA KATIA DA SILVA</t>
  </si>
  <si>
    <t>05-47</t>
  </si>
  <si>
    <t>MOISES LEITE SANTOS</t>
  </si>
  <si>
    <t>05-41</t>
  </si>
  <si>
    <t>FLAVIO HALADA MACEDO</t>
  </si>
  <si>
    <t>LP06/0942</t>
  </si>
  <si>
    <t>LEONARDO ROSA FERREIRA</t>
  </si>
  <si>
    <t>01-34</t>
  </si>
  <si>
    <t>JUAN IGOR PRESUDA PEDROSO</t>
  </si>
  <si>
    <t>01-33</t>
  </si>
  <si>
    <t>ALEXANDRE DE CARVALHO</t>
  </si>
  <si>
    <t>VITOR HENRIQUE RODRIGUES DA SILVA</t>
  </si>
  <si>
    <t>SD18/0544</t>
  </si>
  <si>
    <t>ITALO RODRIGUES SILVA ARAUJO</t>
  </si>
  <si>
    <t>05-42</t>
  </si>
  <si>
    <t xml:space="preserve">JOSE RICARDO DO NASCIMENTO LOPES </t>
  </si>
  <si>
    <t>RAISSA SANTOS DA SILVA</t>
  </si>
  <si>
    <t>01-40</t>
  </si>
  <si>
    <t>MICHELL ANDRADE DOS SANTOS</t>
  </si>
  <si>
    <t>SD18/0545</t>
  </si>
  <si>
    <t>JOSE ALVES FEITOSA</t>
  </si>
  <si>
    <t>LP06/0946</t>
  </si>
  <si>
    <t>JOEL RUBES FONSECA</t>
  </si>
  <si>
    <t>RG10/0546</t>
  </si>
  <si>
    <t>TANIA MARIA MENDES DOS SANTOS</t>
  </si>
  <si>
    <t>01-42</t>
  </si>
  <si>
    <t>CLEBER ROBERTO DE LIMA GONSALEZ</t>
  </si>
  <si>
    <t>PRISCILA DE MORAES CARVALHO</t>
  </si>
  <si>
    <t>BC31/0307</t>
  </si>
  <si>
    <t>ADENILSON MARTINS DA COSTA</t>
  </si>
  <si>
    <t>01-35</t>
  </si>
  <si>
    <t>ALEX PINHEIRO DA SILVA</t>
  </si>
  <si>
    <t>THAISE SOUZA DE FREITAS</t>
  </si>
  <si>
    <t>SD/180548</t>
  </si>
  <si>
    <t>DALVIANE SANTANA NASCIMENTO</t>
  </si>
  <si>
    <t>RG10/0547</t>
  </si>
  <si>
    <t>SILVANA AVILA DA COSTA SANTOS</t>
  </si>
  <si>
    <t>01-36</t>
  </si>
  <si>
    <t>GABRIEL HENRIQUE DE JESUS SANTOS</t>
  </si>
  <si>
    <t>05-45</t>
  </si>
  <si>
    <t>ROBERTO PEREIRA NETO SANTANA</t>
  </si>
  <si>
    <t>01-43</t>
  </si>
  <si>
    <t>MINELVINA BATISTA DOS SANTOS</t>
  </si>
  <si>
    <t>05-44</t>
  </si>
  <si>
    <t>JOCELINO DOS SANTOS BRITO</t>
  </si>
  <si>
    <t>LP06/0949</t>
  </si>
  <si>
    <t>VANESSA DOS SANTOS SOUSA</t>
  </si>
  <si>
    <t>BC31/0308</t>
  </si>
  <si>
    <t>LUISELIS YAJAIRA AGUILERA TERUEL</t>
  </si>
  <si>
    <t>THAIS MARTINS DE SOUSA</t>
  </si>
  <si>
    <t>BC31/0311</t>
  </si>
  <si>
    <t>GUSTAVO ALVES DE LIMA</t>
  </si>
  <si>
    <t>05-15</t>
  </si>
  <si>
    <t>PATRICIA DO NASCIMENTO SANTOS</t>
  </si>
  <si>
    <t>BC31/0310</t>
  </si>
  <si>
    <t>INACIO GOMES DE OLIVEIRA</t>
  </si>
  <si>
    <t>01-45</t>
  </si>
  <si>
    <t>SAULO HENRIQUE RIBEIRO DE AGUIAR</t>
  </si>
  <si>
    <t>00-00</t>
  </si>
  <si>
    <t>ELDA ALVES SILVA</t>
  </si>
  <si>
    <t>ANGEL FELIX MARQUES BORROME</t>
  </si>
  <si>
    <t>JANAILSON MENEZES DOS SANTOS</t>
  </si>
  <si>
    <t>ANTONIO MARCIO MOREIRA</t>
  </si>
  <si>
    <t>01-21</t>
  </si>
  <si>
    <t>ITALO LEANDRO DA SILVA</t>
  </si>
  <si>
    <t xml:space="preserve">LUIS GERALDO GARCIA GUILLENT </t>
  </si>
  <si>
    <t>LUIS LEODAN GARCIA TABATA</t>
  </si>
  <si>
    <t>WILLIAM SANTOS DA SILVA</t>
  </si>
  <si>
    <t>JOANA CLECIA DE JESUS SOUZA</t>
  </si>
  <si>
    <t>ROSICLEIDE VIEIRA DE PAULA</t>
  </si>
  <si>
    <t>RONIVON TEIXEIRA SANTOS</t>
  </si>
  <si>
    <t>EDIVALDO RODRIGUES OLIVEIRA</t>
  </si>
  <si>
    <t>JOSE FERNANDO DE SOUZA FARIAS</t>
  </si>
  <si>
    <t>DEBORA REGINA DE OLIVEIRA SUZART</t>
  </si>
  <si>
    <t>MARIANA SOUZA SANTOS</t>
  </si>
  <si>
    <t>YARA SANTOS DE SOUSA</t>
  </si>
  <si>
    <t>LEIDIANE SILVA SANTOS</t>
  </si>
  <si>
    <t>MARCELO SANTOS</t>
  </si>
  <si>
    <t>LP06/1002</t>
  </si>
  <si>
    <t>MARCELO GUIMARÃES</t>
  </si>
  <si>
    <t>SD18/0550</t>
  </si>
  <si>
    <t>BRUNO BISPO RAMOS</t>
  </si>
  <si>
    <t>04-23</t>
  </si>
  <si>
    <t>REGIANE FERREIRA SOUSA</t>
  </si>
  <si>
    <t>LP06/0950</t>
  </si>
  <si>
    <t>JOSIVANIA BEZERRA GOMES</t>
  </si>
  <si>
    <t>05-46</t>
  </si>
  <si>
    <t>KETHELYN GIOVANNA PAULINO MIRANDA</t>
  </si>
  <si>
    <t>LP06/1003</t>
  </si>
  <si>
    <t>CRISTINIANO MACHADO SOUZA</t>
  </si>
  <si>
    <t>01-47</t>
  </si>
  <si>
    <t>HIURE PEREIRA FERREIRA</t>
  </si>
  <si>
    <t>LUCIENE ALVES ARAUJO</t>
  </si>
  <si>
    <t>JAIMERSON VINICIUS DE SOUSA SILVA</t>
  </si>
  <si>
    <t>TB27/0506</t>
  </si>
  <si>
    <t>JOAO BATISTA CARVALHO DO SANTOS</t>
  </si>
  <si>
    <t>SD18/0546</t>
  </si>
  <si>
    <t>ALAILSON SOARES RODRIGUES</t>
  </si>
  <si>
    <t>FRANCIELE ALVES DA SILVA</t>
  </si>
  <si>
    <t>RG10/0549</t>
  </si>
  <si>
    <t>JOILTON DA HORA SANTOS</t>
  </si>
  <si>
    <t>TB27/0507</t>
  </si>
  <si>
    <t>MATEUS JORDAN DE PAIVA SILVA</t>
  </si>
  <si>
    <t>01-41</t>
  </si>
  <si>
    <t>LIBERATO NORONHA DE SANTANA</t>
  </si>
  <si>
    <t>VITORIA DE LIMA SANTOS</t>
  </si>
  <si>
    <t>04-25</t>
  </si>
  <si>
    <t>MARIA JOSE ALVES SIQUEIRA</t>
  </si>
  <si>
    <t>LP06/1004</t>
  </si>
  <si>
    <t>DIANA ROSA NOGUEIRA</t>
  </si>
  <si>
    <t xml:space="preserve">WILLIANS SILVA DOS SANTOS </t>
  </si>
  <si>
    <t>03-23</t>
  </si>
  <si>
    <t>JOYCE KELLY LIRA DA SILVA</t>
  </si>
  <si>
    <t>04-24</t>
  </si>
  <si>
    <t>CLEILANE SOARES MAIA CASTRO</t>
  </si>
  <si>
    <t>INGRID APARECIDA RAMOS</t>
  </si>
  <si>
    <t>03-24</t>
  </si>
  <si>
    <t>WELLINGTON GABRIEL FERREIRA VIANA</t>
  </si>
  <si>
    <t>01-37</t>
  </si>
  <si>
    <t>MARINETE SANTOS SILVA</t>
  </si>
  <si>
    <t>05-49</t>
  </si>
  <si>
    <t>LARISSA CINDY FERREIRA SILVA</t>
  </si>
  <si>
    <t>05-48</t>
  </si>
  <si>
    <t>SABRINA LEAL DOS SANTOS</t>
  </si>
  <si>
    <t>01-49</t>
  </si>
  <si>
    <t xml:space="preserve">KHADIJA MONTEIRO DIAS DOS SANTOS </t>
  </si>
  <si>
    <t>TB27/0508</t>
  </si>
  <si>
    <t xml:space="preserve">RAFAEL CALDAS DOS SANTOS </t>
  </si>
  <si>
    <t>002-03</t>
  </si>
  <si>
    <t>WAGTON RODRIGUES OLIVEIRA</t>
  </si>
  <si>
    <t>002-05</t>
  </si>
  <si>
    <t>ERIVALDO DELFINO DOS SANTOS</t>
  </si>
  <si>
    <t>002-04</t>
  </si>
  <si>
    <t>DAIANA DA SILVA GONÇALVES</t>
  </si>
  <si>
    <t>DIANA ANCILON GOMES</t>
  </si>
  <si>
    <t>CICERO CARLOS DA SILVA</t>
  </si>
  <si>
    <t>002-02</t>
  </si>
  <si>
    <t>BEATRIZ ELOIZA DE PAULA TAVARES</t>
  </si>
  <si>
    <t>LOLIMAR MORILLO</t>
  </si>
  <si>
    <t>ALVARO ALEJANDRO MANZANO DE LA CRUZ</t>
  </si>
  <si>
    <t>06-04</t>
  </si>
  <si>
    <t>JOSENILDA BARBOSA DO NASCIMENTO</t>
  </si>
  <si>
    <t>BRUNO HENRIQUE VIEIRA DA SILVA</t>
  </si>
  <si>
    <t>05-21</t>
  </si>
  <si>
    <t>NELMA BENEVIDES ALVES</t>
  </si>
  <si>
    <t>06-05</t>
  </si>
  <si>
    <t xml:space="preserve">JOICE RODRIGUES DO NASCIMENTO </t>
  </si>
  <si>
    <t>06-06</t>
  </si>
  <si>
    <t>RAYANDERSON CARDOSO DA CRUZ</t>
  </si>
  <si>
    <t>03-12</t>
  </si>
  <si>
    <t>GABRIELLY ZAGOTO MOREIRA</t>
  </si>
  <si>
    <t xml:space="preserve">GABRIEL RODRIGUES DE PAULA DOS SANTOS </t>
  </si>
  <si>
    <t>10-07</t>
  </si>
  <si>
    <t xml:space="preserve">DIONE MEDEIROS LIMA </t>
  </si>
  <si>
    <t xml:space="preserve">MATHEUS NERI ALVES PEREIRA </t>
  </si>
  <si>
    <t>05-09</t>
  </si>
  <si>
    <t>LUCAS MATEUS DE NOVAIS</t>
  </si>
  <si>
    <t>02-05</t>
  </si>
  <si>
    <t xml:space="preserve">ANDRESSA PARISI VIEIRA </t>
  </si>
  <si>
    <t>02-07</t>
  </si>
  <si>
    <t>MARIA LUZINETE SOUZA DO NASCIMENTO</t>
  </si>
  <si>
    <t>03-13</t>
  </si>
  <si>
    <t>ADILSON LINS DE AGUIAR</t>
  </si>
  <si>
    <t>RITA DE FÁTIMA DIAS DA SILVA</t>
  </si>
  <si>
    <t>ALEX DE JESUS DA CONCEIÇÃO</t>
  </si>
  <si>
    <t>RONALDO SILVA BARRETO</t>
  </si>
  <si>
    <t>CLEMERSON JOSÉ DE LIMA ALVES</t>
  </si>
  <si>
    <t>CELSO RICARDO PEREIRA MILIANO</t>
  </si>
  <si>
    <t>MU26/0346 -</t>
  </si>
  <si>
    <t xml:space="preserve">ADRIANO FERREIRA DA SILVA </t>
  </si>
  <si>
    <t>03-09</t>
  </si>
  <si>
    <t xml:space="preserve">ANDREZA BATISTA DA SILVA </t>
  </si>
  <si>
    <t>MU26/0316 -</t>
  </si>
  <si>
    <t xml:space="preserve">CRISPIM OLIVEIRA SILVA </t>
  </si>
  <si>
    <t>MU26/0249 -</t>
  </si>
  <si>
    <t xml:space="preserve">LINDAURA FERREIRA LIMA </t>
  </si>
  <si>
    <t>02-25</t>
  </si>
  <si>
    <t xml:space="preserve">GILVAN RIBEIRO DE BRITO </t>
  </si>
  <si>
    <t>02-35</t>
  </si>
  <si>
    <t xml:space="preserve">LARISSA APARECIDA ALVES DE ANDRADE </t>
  </si>
  <si>
    <t xml:space="preserve">OS09/0508 </t>
  </si>
  <si>
    <t xml:space="preserve">SERGIO VIDAL DA CUNHA </t>
  </si>
  <si>
    <t xml:space="preserve">OS09/0342 </t>
  </si>
  <si>
    <t xml:space="preserve">PEDRO SILVA BARRETO </t>
  </si>
  <si>
    <t xml:space="preserve">OS09/0424 </t>
  </si>
  <si>
    <t xml:space="preserve">ENEDINO ROSA GONCALVES </t>
  </si>
  <si>
    <t>MU26/0323 -</t>
  </si>
  <si>
    <t xml:space="preserve">FRANCISCO GOMES DE SOUSA JUNIOR </t>
  </si>
  <si>
    <t>MU26/0324 -</t>
  </si>
  <si>
    <t xml:space="preserve">ELIANA COSTA HILARIO </t>
  </si>
  <si>
    <t>02-29</t>
  </si>
  <si>
    <t xml:space="preserve">JUSCELINO PEDRO DOS ANJOS FILHO </t>
  </si>
  <si>
    <t>02-30</t>
  </si>
  <si>
    <t xml:space="preserve">ALEXANDRE ALVES DA SILVA </t>
  </si>
  <si>
    <t>MU23/0305 -</t>
  </si>
  <si>
    <t xml:space="preserve">ADRIANA DE OLIVEIRA NASCIMENTO RIBEIRO </t>
  </si>
  <si>
    <t>MU26/0328 -</t>
  </si>
  <si>
    <t xml:space="preserve">SAMUEL LEITAO VIEIRA </t>
  </si>
  <si>
    <t xml:space="preserve">OS09/0446 </t>
  </si>
  <si>
    <t xml:space="preserve">LAUDO PEREIRA SANTOS </t>
  </si>
  <si>
    <t>MU26/0402 -</t>
  </si>
  <si>
    <t xml:space="preserve">ANTONIO PEREIRA DOS SANTOS </t>
  </si>
  <si>
    <t xml:space="preserve">OS09/0311 </t>
  </si>
  <si>
    <t xml:space="preserve">ALESSANDRO CONCEICAO DA CRUZ </t>
  </si>
  <si>
    <t>02-24</t>
  </si>
  <si>
    <t xml:space="preserve">LUAN DOS SANTOS CARMO </t>
  </si>
  <si>
    <t>03-10</t>
  </si>
  <si>
    <t xml:space="preserve">ERAN SILVA LUNA BATISTA </t>
  </si>
  <si>
    <t xml:space="preserve">FLAVIANO MIGUEL LIMA DA SILVA </t>
  </si>
  <si>
    <t xml:space="preserve">ABIMAEL JESUS SOUZA DE OLIVEIRA </t>
  </si>
  <si>
    <t>MU26/0345 -</t>
  </si>
  <si>
    <t xml:space="preserve">YAGO MARTILIANO DA SILVA </t>
  </si>
  <si>
    <t>02-50</t>
  </si>
  <si>
    <t xml:space="preserve">RUDSON CAMINI DE OLIVEIRA </t>
  </si>
  <si>
    <t>MU26/0231 -</t>
  </si>
  <si>
    <t xml:space="preserve">EDIVAN FERREIRA PEREIRA </t>
  </si>
  <si>
    <t>MU26/0238 -</t>
  </si>
  <si>
    <t xml:space="preserve">MARCO ANTONIO DOS SANTOS </t>
  </si>
  <si>
    <t>MU26/0314 -</t>
  </si>
  <si>
    <t xml:space="preserve">WELLYTON DE LIMA SOUSA </t>
  </si>
  <si>
    <t>MU26/0415 -</t>
  </si>
  <si>
    <t xml:space="preserve">JHONATAS RODRIGUES DOS SANTOS </t>
  </si>
  <si>
    <t>03-07</t>
  </si>
  <si>
    <t xml:space="preserve">NAYARA MIRNA MOURA QUEIROZ </t>
  </si>
  <si>
    <t xml:space="preserve">OS09/0444 </t>
  </si>
  <si>
    <t xml:space="preserve">CARLOS EDUARDO ABRANCHES </t>
  </si>
  <si>
    <t xml:space="preserve">OS09/0445 </t>
  </si>
  <si>
    <t xml:space="preserve">SILVIO JOSE DE ALKMIM </t>
  </si>
  <si>
    <t xml:space="preserve">OS09/0447 </t>
  </si>
  <si>
    <t xml:space="preserve">JOSE HILTON VIEIRA CAMPOS </t>
  </si>
  <si>
    <t>OS09/0506 -</t>
  </si>
  <si>
    <t xml:space="preserve">ANTONIO NETO PEREIRA DA SILVA </t>
  </si>
  <si>
    <t>MU26/0340 -</t>
  </si>
  <si>
    <t xml:space="preserve">WESLLEY DA COSTA XAVIER </t>
  </si>
  <si>
    <t>MU26/0247 -</t>
  </si>
  <si>
    <t xml:space="preserve">LUZINETE DOS SANTOS </t>
  </si>
  <si>
    <t xml:space="preserve">OS09/0505 </t>
  </si>
  <si>
    <t xml:space="preserve">MIRIAN RODRIGUES LEITE SILVA </t>
  </si>
  <si>
    <t>OS09/0437</t>
  </si>
  <si>
    <t xml:space="preserve">ALAN SOUZA DE SANTANA </t>
  </si>
  <si>
    <t xml:space="preserve">OS09/0507 </t>
  </si>
  <si>
    <t xml:space="preserve">RODRIGO ALVES DA SILVA </t>
  </si>
  <si>
    <t xml:space="preserve">OS09/0432 </t>
  </si>
  <si>
    <t xml:space="preserve">ANDREA HONORATO BARBOSA </t>
  </si>
  <si>
    <t xml:space="preserve">OS09/0439 </t>
  </si>
  <si>
    <t xml:space="preserve">JEAN CARLOS FERREIRA SOUSA </t>
  </si>
  <si>
    <t>03-19</t>
  </si>
  <si>
    <t xml:space="preserve">DANILO SABBAS FERREIRA DA SILVA </t>
  </si>
  <si>
    <t>03-16</t>
  </si>
  <si>
    <t xml:space="preserve">KAUE CEDRIC ZIMERMANN DE OLIVEIRA </t>
  </si>
  <si>
    <t>MU26/0409 -</t>
  </si>
  <si>
    <t xml:space="preserve">SANDRA MARIA DE SOUSA OLIVEIRA </t>
  </si>
  <si>
    <t>MU26/0419 -</t>
  </si>
  <si>
    <t xml:space="preserve">VANDERSON PINTO DOS SANTOS </t>
  </si>
  <si>
    <t>03-03</t>
  </si>
  <si>
    <t xml:space="preserve">KAUA OLIVEIRA DOS SANTOS </t>
  </si>
  <si>
    <t>MU26/0343 -</t>
  </si>
  <si>
    <t xml:space="preserve">ODEMAR PEREIRA DE SOUZA </t>
  </si>
  <si>
    <t>WALACE DAVI GOMES DOS SANTOS</t>
  </si>
  <si>
    <t>ALEXANDRO PEREIRA BALDEZ</t>
  </si>
  <si>
    <t>MARCOS VINICIUS PEREIRA DE ARAUJO</t>
  </si>
  <si>
    <t>KAMILLA KAROLINA MARINHO DO SANTOS</t>
  </si>
  <si>
    <t>FABIANA FERREIRA DE LIMA</t>
  </si>
  <si>
    <t>TAMARA DE JESUS QUEIROZ</t>
  </si>
  <si>
    <t>INICIO LOJA</t>
  </si>
  <si>
    <t>GESTOR</t>
  </si>
  <si>
    <t>CBO</t>
  </si>
  <si>
    <t>CARGO</t>
  </si>
  <si>
    <t>LOCAL TRABALHO</t>
  </si>
  <si>
    <t>LOCAL REGISTRO</t>
  </si>
  <si>
    <t>ZE</t>
  </si>
  <si>
    <t>8485-10</t>
  </si>
  <si>
    <t>AÇOUGUEIRO / ENCARREGADO</t>
  </si>
  <si>
    <t>LAPA - BIG OSASCO</t>
  </si>
  <si>
    <t>BIG OSASCO</t>
  </si>
  <si>
    <t>HENRIQUE</t>
  </si>
  <si>
    <t>4110-05</t>
  </si>
  <si>
    <t>GERENTE FINANCEIRO</t>
  </si>
  <si>
    <t>COMERCIAL - BROOKLIN</t>
  </si>
  <si>
    <t>BROOKLIN</t>
  </si>
  <si>
    <t>JOSÉ</t>
  </si>
  <si>
    <t>ITAPECERICA DA SERRA</t>
  </si>
  <si>
    <t>VALDINEI</t>
  </si>
  <si>
    <t>4211-25</t>
  </si>
  <si>
    <t>OPERADOR(A) DE CAIXA</t>
  </si>
  <si>
    <t>AÇOUGUEIRO</t>
  </si>
  <si>
    <t>DESSOSADOR</t>
  </si>
  <si>
    <t>ABIMAEL</t>
  </si>
  <si>
    <t xml:space="preserve">REI DO GADO </t>
  </si>
  <si>
    <t>BROOKLIN - COMERCIAL</t>
  </si>
  <si>
    <t>COMERCIAL</t>
  </si>
  <si>
    <t>1423-05</t>
  </si>
  <si>
    <t>GERENTE DE  AÇOUGUE</t>
  </si>
  <si>
    <t>BRUNO</t>
  </si>
  <si>
    <t>BALCONISTA</t>
  </si>
  <si>
    <t>BALCONISTA DE AÇOUGUE</t>
  </si>
  <si>
    <t>GUILHERME</t>
  </si>
  <si>
    <t>TABOAO I</t>
  </si>
  <si>
    <t>JUSCELINO</t>
  </si>
  <si>
    <t>5191-10</t>
  </si>
  <si>
    <t>MOTOCICLISTA</t>
  </si>
  <si>
    <t>5191-05</t>
  </si>
  <si>
    <t>ENTREGADOR</t>
  </si>
  <si>
    <t>MARLUCI</t>
  </si>
  <si>
    <t>4101-05</t>
  </si>
  <si>
    <t>ENCARREGADA</t>
  </si>
  <si>
    <t>4201-05</t>
  </si>
  <si>
    <t>SUPERVISORA DE CAIXA</t>
  </si>
  <si>
    <t>VALDEMAR</t>
  </si>
  <si>
    <t>SBC</t>
  </si>
  <si>
    <t>REI DO GADO - BROOKLIN</t>
  </si>
  <si>
    <t>ENCARREGADO</t>
  </si>
  <si>
    <t>5143-20</t>
  </si>
  <si>
    <t>FAXINEIRO</t>
  </si>
  <si>
    <t>TABOAO - SBC</t>
  </si>
  <si>
    <t>ENCARREGADO DE AÇOUGUE</t>
  </si>
  <si>
    <t>BARCELONA</t>
  </si>
  <si>
    <t>RAGUEB</t>
  </si>
  <si>
    <t>4110-10</t>
  </si>
  <si>
    <t>ASSISTENTE ADMINISTRATIVO</t>
  </si>
  <si>
    <t>AUXILIAR ADMISTRATIVO</t>
  </si>
  <si>
    <t>5201-10</t>
  </si>
  <si>
    <t>SUPERVISOR DE LOJA</t>
  </si>
  <si>
    <t>AÇOUGUEIRO/GERENTE</t>
  </si>
  <si>
    <t xml:space="preserve">AJUDANTE DE AÇOUGUEIRO </t>
  </si>
  <si>
    <t>7823-05</t>
  </si>
  <si>
    <t>MOTORISTA</t>
  </si>
  <si>
    <t>MUTINGA - SBC</t>
  </si>
  <si>
    <t>RICARDO</t>
  </si>
  <si>
    <t>MATEO BEI</t>
  </si>
  <si>
    <t>OTACILIO</t>
  </si>
  <si>
    <t>RAGUEB-MATEO BEI</t>
  </si>
  <si>
    <t>5211-40</t>
  </si>
  <si>
    <t>BALCONISTA DE PADARIA</t>
  </si>
  <si>
    <t>BALCONISTA FRIOS</t>
  </si>
  <si>
    <t>RODRIGO</t>
  </si>
  <si>
    <t>LAJEADO</t>
  </si>
  <si>
    <t>SAUDE - LAJEADO</t>
  </si>
  <si>
    <t>1422-05</t>
  </si>
  <si>
    <t>COORDENADORA RH</t>
  </si>
  <si>
    <t>LAJEADO-RAGUEB</t>
  </si>
  <si>
    <t>5211-25</t>
  </si>
  <si>
    <t>REPOSITORA</t>
  </si>
  <si>
    <t>MATEO BEI - CM</t>
  </si>
  <si>
    <t>RAGUEB -CM</t>
  </si>
  <si>
    <t>BALCONISTA HORTI FRUTTI</t>
  </si>
  <si>
    <t>5143-20 </t>
  </si>
  <si>
    <t>AUXILIAR DE LIMPEZA</t>
  </si>
  <si>
    <t>TATIANE</t>
  </si>
  <si>
    <t>2425-05</t>
  </si>
  <si>
    <t>ASSISTENTE DE RH</t>
  </si>
  <si>
    <t>LAUDO</t>
  </si>
  <si>
    <t>FERNANDO</t>
  </si>
  <si>
    <t>BANDEJISTA</t>
  </si>
  <si>
    <t xml:space="preserve">GANCHERISTA </t>
  </si>
  <si>
    <t>RÔMULO</t>
  </si>
  <si>
    <t>MUTINGA</t>
  </si>
  <si>
    <t>ROMULO</t>
  </si>
  <si>
    <t xml:space="preserve">GUILHERME </t>
  </si>
  <si>
    <t xml:space="preserve">AÇOUGUEIRO </t>
  </si>
  <si>
    <t>REI DO GADO</t>
  </si>
  <si>
    <t>01/02/2023</t>
  </si>
  <si>
    <t>01/03/2023</t>
  </si>
  <si>
    <t>01/04/2020</t>
  </si>
  <si>
    <t>01/06/2017</t>
  </si>
  <si>
    <t>01/06/2018</t>
  </si>
  <si>
    <t>01/06/2019</t>
  </si>
  <si>
    <t>01/07/2024</t>
  </si>
  <si>
    <t>01/09/2014</t>
  </si>
  <si>
    <t>01/10/2018</t>
  </si>
  <si>
    <t>01/10/2020</t>
  </si>
  <si>
    <t>01/11/2018</t>
  </si>
  <si>
    <t>REI DO GADO-ITAPECERICA</t>
  </si>
  <si>
    <t>01/12/2018</t>
  </si>
  <si>
    <t>01/12/2020</t>
  </si>
  <si>
    <t>01/12/2021</t>
  </si>
  <si>
    <t>01/12/2023</t>
  </si>
  <si>
    <t>02/01/2012</t>
  </si>
  <si>
    <t>02/05/2018</t>
  </si>
  <si>
    <t>03/04/2023</t>
  </si>
  <si>
    <t>03/10/2023</t>
  </si>
  <si>
    <t>04/01/2023</t>
  </si>
  <si>
    <t>04/05/2021</t>
  </si>
  <si>
    <t xml:space="preserve">BALCONISTA </t>
  </si>
  <si>
    <t>06/12/2016</t>
  </si>
  <si>
    <t>5199-25</t>
  </si>
  <si>
    <t xml:space="preserve">CONTROLADOR DE ACESSO </t>
  </si>
  <si>
    <t>07/01/2020</t>
  </si>
  <si>
    <t>08/01/2025</t>
  </si>
  <si>
    <t>09/02/2022</t>
  </si>
  <si>
    <t>09/08/2021</t>
  </si>
  <si>
    <t>09/11/2021</t>
  </si>
  <si>
    <t>10/01/2022</t>
  </si>
  <si>
    <t>10/04/2024</t>
  </si>
  <si>
    <t>11/10/2022</t>
  </si>
  <si>
    <t>12/01/2017</t>
  </si>
  <si>
    <t>12/03/2024</t>
  </si>
  <si>
    <t>14/04/2020</t>
  </si>
  <si>
    <t>MUTINGA - BIG OSASCO</t>
  </si>
  <si>
    <t>16/04/2024</t>
  </si>
  <si>
    <t>17/06/2019</t>
  </si>
  <si>
    <t>17/07/2020</t>
  </si>
  <si>
    <t>18/03/2025</t>
  </si>
  <si>
    <t>18/06/2024</t>
  </si>
  <si>
    <t xml:space="preserve">FAXINEIRO </t>
  </si>
  <si>
    <t>20/05/2025</t>
  </si>
  <si>
    <t>20/08/2021</t>
  </si>
  <si>
    <t>24/10/2022</t>
  </si>
  <si>
    <t>NÃO</t>
  </si>
  <si>
    <t>BALCONISTA DE HORTIFRUTTI</t>
  </si>
  <si>
    <t>VT /VC</t>
  </si>
  <si>
    <t>TIPOS DE  CONDUÇÃO</t>
  </si>
  <si>
    <t>VALOR UNIT</t>
  </si>
  <si>
    <t>VALOR DIÁRIO</t>
  </si>
  <si>
    <t>VR</t>
  </si>
  <si>
    <t>CESTA BASICA</t>
  </si>
  <si>
    <t>OPTANTE</t>
  </si>
  <si>
    <t>02 Onibus - 5,80+5,20 Barueri</t>
  </si>
  <si>
    <t>SIM</t>
  </si>
  <si>
    <t>CARRO EMPRESA</t>
  </si>
  <si>
    <t>EMTU INTERM. JD SÃO JUDAS TABOÃO DA SERRA/METRO BUTANTA-SP / EMTU INTERM. ITAPECERICA / SP METRO VILA SONIA</t>
  </si>
  <si>
    <t>ÔNIBUS MUNICIPAL SÃO PAULO</t>
  </si>
  <si>
    <t>02 ônibus B.U 5,49</t>
  </si>
  <si>
    <t>INTEGRAÇÃO ONIBUS / METRO / CPTM / TROLEBUS INTERM. METRO JABAQUARA SP/ TERM METROPOLITANO - DIADEMA</t>
  </si>
  <si>
    <t>COMBUSTIVEL</t>
  </si>
  <si>
    <t>2 ÔNIBUS MUNICIPAL /INTEGRAÇÃO METRÔ/CPTM</t>
  </si>
  <si>
    <t xml:space="preserve">02 ônibus B.U 5,49 </t>
  </si>
  <si>
    <t>ÔNIBUS INT. 25 DP / TERM DIADEMA ( CENTRO ) TERM.PIRAPORINHA</t>
  </si>
  <si>
    <t>ÔNIBUS MUNICIPAL SÃO BERNARDO DO CAMPO</t>
  </si>
  <si>
    <t>VALE COMBUSTÍVEL</t>
  </si>
  <si>
    <t>02 INTERMUNICIPAL ITAPECERICA</t>
  </si>
  <si>
    <t>NÃO OPTANTE</t>
  </si>
  <si>
    <t>2 TRÊM METROPOLITANO/VIAÇÃO SÃO JOSÉ -ESTAÇÃO CPTM SUZANO</t>
  </si>
  <si>
    <t>NÃO OPTANTE - AFASTADO ACIDENTE DE TRAJETO 28/08/2025</t>
  </si>
  <si>
    <t>ÔNIBUS MUNICIPAL SÃO PAULO/ INTEGRAÇÃO ÔNIBUS/METRÔ/CPTM</t>
  </si>
  <si>
    <t>ÔNIBUS MUNICIPAL DIADEMA</t>
  </si>
  <si>
    <t>ÔNIBUS</t>
  </si>
  <si>
    <t>02 ônibus+metro</t>
  </si>
  <si>
    <t>NÃO OPTANTE - AFASTADO AUXILIO DOENÇA 11/07/2019</t>
  </si>
  <si>
    <t xml:space="preserve"> CPTM - TREM METROPOLITANO (5,20) </t>
  </si>
  <si>
    <t xml:space="preserve">ÔNIBUS MUNICIPAL OSASCO (5,90) CPTM - TREM METROPOLITANO (5,20) </t>
  </si>
  <si>
    <t>4ºÔNIBUS</t>
  </si>
  <si>
    <t xml:space="preserve">ÔNIBUS MUNICIPAL FRANCISCO MORATO (5,90) CPTM - TREM METROPOLITANO (5,20) </t>
  </si>
  <si>
    <t>ÔNIBUS MUNICIPAL SÃO PAULO (5,00) INTEGRAÇÃO ÔNIBUS/METRÔ CPTM (3,90)</t>
  </si>
  <si>
    <t>EMTU INTERMUNICIOAL PQ IMPERIAL BARUERI/LAPA -SÃO PAULO</t>
  </si>
  <si>
    <t>ÔNIBUS MUNICIPAL SP/ EMTU DIADEMA / TERM FERRAZOPOLIS / SBC</t>
  </si>
  <si>
    <t>ÔNIBUS MUNICIPAL SP/ EMTU INT. TERM LESTE - STO ANDRÉ/JD CLIMAX SP</t>
  </si>
  <si>
    <t>ÔNIBUS MUNICIPAL OSASCO</t>
  </si>
  <si>
    <t xml:space="preserve">ÔNIBUS MUNICIPAL OSASCO (5,80) CPTM - TREM METROPOLITANO (5,20) </t>
  </si>
  <si>
    <t>ÔNIBUS 1º R$ 5,50 / 2º R$ 5,95 / 1º R$ 1,35 / 1°  R$ 6,05</t>
  </si>
  <si>
    <t>2 INTEGRAÇÃO ÔNIBUS/METRÔ/CPTM / EMTU INTERMUNICIPAL FRANCISCO MORATO/CENTRO FRANCO DA ROCHA</t>
  </si>
  <si>
    <t>ÔNIBUS MUNICIPAL SÃO PAULO/ EMTU TERM METROPOLITANO DIADEMA/ METRO SÃO JUDAS INTEGRAÇÃO ÔNIBUS/METRÔ/CPTM</t>
  </si>
  <si>
    <t>EMTU INT. VILA SÃO JOSÉ - DIADEMA/SAÚDE- SP</t>
  </si>
  <si>
    <t>02 ônibus</t>
  </si>
  <si>
    <t>ÔNIBUS MUNICIPAL SP/ INTEGRAÇÃO ÔNIBUS METRO CPTM</t>
  </si>
  <si>
    <t>ÔNIBUS INTERMUNICIPAL / METRÔ CPTM</t>
  </si>
  <si>
    <t>EMTU INT. TERM FERRAZOPOLIS -SBC / JD CAMPANARIO DIADEMA</t>
  </si>
  <si>
    <t>2 METRÔ/INTEGRAÇÃO ONIBUS/METRÔ/CPTM</t>
  </si>
  <si>
    <t>2 ÔNIBUS INTERMUNICIPAL PQ IMPERIAL BARUERI/LAPA</t>
  </si>
  <si>
    <t>ÔNIBUS MUNICIPAL SP/ INTEGRAÇÃO }ONIBUS/METRÔ/CPTM</t>
  </si>
  <si>
    <t>METRÔ/ONIBUS MUNICIPAL DIADEMA/ INTEGRAÇÃO ENTRE LINHAS MUNICIPAL / TARIFA INTEGRADA METRO/TROLEBUS</t>
  </si>
  <si>
    <t>2 ÔNIBUS MUNICIPAL  DIADEMA/CPTM/INTEGRAÇÃO/ TARIFA TROLEBUS</t>
  </si>
  <si>
    <t xml:space="preserve">02 ônibus 3.70+metro 5,20 </t>
  </si>
  <si>
    <t>02 Onibus 6,40+5,00</t>
  </si>
  <si>
    <t xml:space="preserve">EMTU INTERMUNICIPAL TERM. FERRAZOPOLIS - SBC/JD CAMPANARIO - DIADEMA </t>
  </si>
  <si>
    <t xml:space="preserve">ÔNIBUS 1º R$ 5,50 / 2º R$ 5,95 / 1º R$ 1,35 / 1°  R$ 6,05 </t>
  </si>
  <si>
    <t xml:space="preserve">ONIBUS INTERMUNICIPAL </t>
  </si>
  <si>
    <t xml:space="preserve">ÔNIBUS MUNICIPAL SÃO PAULO </t>
  </si>
  <si>
    <t xml:space="preserve">02 ONIBUS  </t>
  </si>
  <si>
    <t>EMTU INT. DIADEMA ( VL SÃO JOSE ) SAÚDE VIA SBC</t>
  </si>
  <si>
    <t>02 metro</t>
  </si>
  <si>
    <t>ONIBUS R$ 5,95 ( AUT. PGTO SR. JOÃO SOMENTE DE 11.90)</t>
  </si>
  <si>
    <t>010 JD BELMONTE</t>
  </si>
  <si>
    <t xml:space="preserve">NÃO OPTANTE MAIOR DE 65 ANOS/ APOSENTADO ( MEDIA 600,00 MÊS ) </t>
  </si>
  <si>
    <t>ÔNIBUS MUNICIPAL 5,00 + DIADEMA 5,50</t>
  </si>
  <si>
    <t>ÔNIBUS INTERM/ E TRÊM</t>
  </si>
  <si>
    <t>04 ÔNIBUS 5,80 cd</t>
  </si>
  <si>
    <t xml:space="preserve">02 ÔNIBUS </t>
  </si>
  <si>
    <t>02 ÔNIBUS</t>
  </si>
  <si>
    <t>ÔNIBUS MUNICIPAL SP/EMTU INTER TERM LESTE - STO ANDRÉ/JD CLIMAX</t>
  </si>
  <si>
    <t>onibus R$ 6,75 ( IDA E VOLTA ) 080 JARDIM BONANÇA</t>
  </si>
  <si>
    <t xml:space="preserve"> CPTM - TREM METROPOLITANO </t>
  </si>
  <si>
    <t>ÔNIBUS INTERMUNICIPAL SÃO PAULO NUM. 322</t>
  </si>
  <si>
    <t xml:space="preserve">ONIBUS </t>
  </si>
  <si>
    <t>02 METRÔ</t>
  </si>
  <si>
    <t>TERMINAL DIADEMA 26DP</t>
  </si>
  <si>
    <t>EMTU INTERMUN VILA DIRCE CARAP / VILA YARA OSAC</t>
  </si>
  <si>
    <t>ÔNIBUS + METRÔ</t>
  </si>
  <si>
    <t>ÔNIBUS 1   5,50 *2   5,95 *1   1,35 *1   6,05</t>
  </si>
  <si>
    <t xml:space="preserve">ONIBUS E TREM </t>
  </si>
  <si>
    <t>ONIBUS INTERMUNICIPAL 575751</t>
  </si>
  <si>
    <t xml:space="preserve">ONIBUS 26 DP TERMINAL DIADEMA </t>
  </si>
  <si>
    <t>EMTU INTERMUN OSASCO</t>
  </si>
  <si>
    <t>02 ONIBUS MUN SP 5,00 + 02 INTER ITAPECERICA 5,20</t>
  </si>
  <si>
    <t>ONIBUS MUN OSAS</t>
  </si>
  <si>
    <t>EMTU INTER PQ IMPERIAL BARUERI / LAPA SP</t>
  </si>
  <si>
    <t>ONIBUS MUNC OSAS</t>
  </si>
  <si>
    <t>ONIBUS MUN OSAS + CPTM TREM</t>
  </si>
  <si>
    <t>EMTU INTERM VILA YARA OSASC/ TERMINAL COTIA +CPTM METRO</t>
  </si>
  <si>
    <t>EMTU INTER VILA MENK OSAS/PINHEIROS SP</t>
  </si>
  <si>
    <t>02 ONIBUS 4,10+02 ONIBUS 3,90</t>
  </si>
  <si>
    <t>4 + 5,80 ONIBUS MUN OSAS</t>
  </si>
  <si>
    <t>EMTU INTER JD BONANÇA OSAS / PINHEIRO SP</t>
  </si>
  <si>
    <t>NÃO OPTANTE - AFASTADO POR ACIDENTE</t>
  </si>
  <si>
    <t>02 ONIBUS 5,00+ 02 INTER EMBU 6,00</t>
  </si>
  <si>
    <t>ONIBUS MUNC OSAS/EMTU INTER</t>
  </si>
  <si>
    <t>02 ONIBUS 5,00+ 02 INTER ITAPECERICA 4,65</t>
  </si>
  <si>
    <t>ONIBUS</t>
  </si>
  <si>
    <t>CPTM TREM</t>
  </si>
  <si>
    <t>ONUBUS MUN CARAP / CPTM TREM</t>
  </si>
  <si>
    <t>EMTU INTER JD NOVO HORIZONTE CARAP / VILA YARA OSASC</t>
  </si>
  <si>
    <t>EMTU INTERMUN OSASC / PINH</t>
  </si>
  <si>
    <t>ONIBUS MUN SP + CPTM METRO</t>
  </si>
  <si>
    <t>02 ONIBUS  5,00 + 02 ONIBUS 5,20</t>
  </si>
  <si>
    <t>Seguro de Vida</t>
  </si>
  <si>
    <t>Odonto</t>
  </si>
  <si>
    <t>01/09/2025</t>
  </si>
  <si>
    <t>01/08/2025</t>
  </si>
  <si>
    <t>30/09/2025</t>
  </si>
  <si>
    <t>08/08/2025</t>
  </si>
  <si>
    <t>09/09/2025</t>
  </si>
  <si>
    <t>17/09/2025</t>
  </si>
  <si>
    <t>27/10/2025</t>
  </si>
  <si>
    <t>14/11/2025</t>
  </si>
  <si>
    <t>21/11/2025</t>
  </si>
  <si>
    <t>Bem +</t>
  </si>
  <si>
    <t>Hipcom</t>
  </si>
  <si>
    <t>Benefícios</t>
  </si>
  <si>
    <t>LEANDRO DE OLIVEIRA BRAGA</t>
  </si>
  <si>
    <t>MOHAMMED DEBBAB</t>
  </si>
  <si>
    <t>ANA BEATRYS NASCIMENTO DA SILVA</t>
  </si>
  <si>
    <t>UDAEIS UILIAN SOARES DA SILVA</t>
  </si>
  <si>
    <t>ZILDA FELIZ DA SILVA</t>
  </si>
  <si>
    <r>
      <t xml:space="preserve">02 ônibus </t>
    </r>
    <r>
      <rPr>
        <sz val="12"/>
        <color rgb="FFFF0000"/>
        <rFont val="Arial Nova"/>
        <family val="2"/>
      </rPr>
      <t>B.U 5,49</t>
    </r>
    <r>
      <rPr>
        <sz val="12"/>
        <color theme="1"/>
        <rFont val="Arial Nova"/>
        <family val="2"/>
      </rPr>
      <t xml:space="preserve"> + 02 ônibus Inter 5,90</t>
    </r>
  </si>
  <si>
    <t>TIFANI VIEIRA SOARES</t>
  </si>
  <si>
    <t xml:space="preserve">LAJEADO </t>
  </si>
  <si>
    <t>09/12/2025</t>
  </si>
  <si>
    <t>RICARDO PASSI</t>
  </si>
  <si>
    <t>SUPER LAPA</t>
  </si>
  <si>
    <t>MUTINGA - SUPER LAPA</t>
  </si>
  <si>
    <t>INTERMUNICIPAL</t>
  </si>
  <si>
    <t>WILLIAM GOMES DE LIMA</t>
  </si>
  <si>
    <t>TERMINAL SACOMÃ</t>
  </si>
  <si>
    <t>RG10/0602</t>
  </si>
  <si>
    <t>RG10/0550</t>
  </si>
  <si>
    <t>CÁSSIA ERIKA QUEIROZ DOS SANTOS</t>
  </si>
  <si>
    <t>RG10/0603</t>
  </si>
  <si>
    <t>BOQUE SAUDE</t>
  </si>
  <si>
    <t>LAPA - BOSQUE SAUDE</t>
  </si>
  <si>
    <t>REI DO GADO - BOSQUE SAUDE</t>
  </si>
  <si>
    <t>BA05-39</t>
  </si>
  <si>
    <t xml:space="preserve">INTEGRAÇÃO ONIBUS / METRO </t>
  </si>
  <si>
    <t>TABOÃO II</t>
  </si>
  <si>
    <t>LJ00-00</t>
  </si>
  <si>
    <t>ANTONIO HENRIQUE SAMPAIO DOS SANTOS</t>
  </si>
  <si>
    <t>MB00-00</t>
  </si>
  <si>
    <t>LENEILDO DA SILVA</t>
  </si>
  <si>
    <t>TB27/0000</t>
  </si>
  <si>
    <t>ROBERTO ALEXANDRE DA SILVA</t>
  </si>
  <si>
    <t>ÔNIBUS INTERMUNICIPAL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</si>
</sst>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&quot; de &quot;mmm&quot; de &quot;yy"/>
    <numFmt numFmtId="165" formatCode="&quot;R$&quot;\ #,##0.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0"/>
      <name val="Arial Nova"/>
      <family val="2"/>
    </font>
    <font>
      <b/>
      <u/>
      <sz val="20"/>
      <color rgb="FFFF0000"/>
      <name val="Arial Nova"/>
      <family val="2"/>
    </font>
    <font>
      <sz val="12"/>
      <color theme="1"/>
      <name val="Arial Nova"/>
      <family val="2"/>
    </font>
    <font>
      <sz val="12"/>
      <name val="Arial Nova"/>
      <family val="2"/>
    </font>
    <font>
      <sz val="12"/>
      <color rgb="FFFF0000"/>
      <name val="Arial Nova"/>
      <family val="2"/>
    </font>
    <font>
      <b/>
      <sz val="12"/>
      <color rgb="FFFF0000"/>
      <name val="Arial Nova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9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44" fontId="3" fillId="5" borderId="1" xfId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/>
    </xf>
    <xf numFmtId="14" fontId="5" fillId="2" borderId="1" xfId="0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165" fontId="5" fillId="2" borderId="1" xfId="0" applyNumberFormat="1" applyFont="1" applyFill="1" applyBorder="1" applyAlignment="1">
      <alignment horizontal="left"/>
    </xf>
    <xf numFmtId="165" fontId="6" fillId="2" borderId="1" xfId="0" applyNumberFormat="1" applyFont="1" applyFill="1" applyBorder="1" applyAlignment="1">
      <alignment horizontal="left"/>
    </xf>
    <xf numFmtId="14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left"/>
    </xf>
    <xf numFmtId="14" fontId="6" fillId="2" borderId="1" xfId="0" applyNumberFormat="1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165" fontId="6" fillId="2" borderId="1" xfId="1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left"/>
    </xf>
    <xf numFmtId="165" fontId="7" fillId="2" borderId="1" xfId="0" applyNumberFormat="1" applyFont="1" applyFill="1" applyBorder="1" applyAlignment="1">
      <alignment horizontal="left"/>
    </xf>
    <xf numFmtId="0" fontId="6" fillId="0" borderId="1" xfId="0" applyFont="1" applyBorder="1" applyAlignment="1">
      <alignment horizontal="left" vertical="center"/>
    </xf>
    <xf numFmtId="165" fontId="5" fillId="2" borderId="1" xfId="1" applyNumberFormat="1" applyFont="1" applyFill="1" applyBorder="1" applyAlignment="1">
      <alignment horizontal="left"/>
    </xf>
    <xf numFmtId="49" fontId="6" fillId="2" borderId="1" xfId="0" applyNumberFormat="1" applyFont="1" applyFill="1" applyBorder="1" applyAlignment="1">
      <alignment horizontal="left"/>
    </xf>
    <xf numFmtId="0" fontId="6" fillId="2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left"/>
    </xf>
    <xf numFmtId="14" fontId="5" fillId="6" borderId="1" xfId="0" applyNumberFormat="1" applyFont="1" applyFill="1" applyBorder="1" applyAlignment="1">
      <alignment horizontal="left"/>
    </xf>
    <xf numFmtId="3" fontId="6" fillId="2" borderId="1" xfId="0" applyNumberFormat="1" applyFont="1" applyFill="1" applyBorder="1" applyAlignment="1">
      <alignment horizontal="left" vertical="center"/>
    </xf>
    <xf numFmtId="165" fontId="6" fillId="4" borderId="1" xfId="0" applyNumberFormat="1" applyFont="1" applyFill="1" applyBorder="1" applyAlignment="1">
      <alignment horizontal="left"/>
    </xf>
    <xf numFmtId="165" fontId="5" fillId="4" borderId="1" xfId="1" applyNumberFormat="1" applyFont="1" applyFill="1" applyBorder="1" applyAlignment="1">
      <alignment horizontal="left"/>
    </xf>
    <xf numFmtId="14" fontId="6" fillId="2" borderId="1" xfId="0" applyNumberFormat="1" applyFont="1" applyFill="1" applyBorder="1" applyAlignment="1">
      <alignment horizontal="left" vertical="center"/>
    </xf>
    <xf numFmtId="165" fontId="5" fillId="3" borderId="1" xfId="1" applyNumberFormat="1" applyFont="1" applyFill="1" applyBorder="1" applyAlignment="1">
      <alignment horizontal="left"/>
    </xf>
    <xf numFmtId="49" fontId="7" fillId="4" borderId="1" xfId="0" applyNumberFormat="1" applyFont="1" applyFill="1" applyBorder="1" applyAlignment="1">
      <alignment horizontal="left"/>
    </xf>
    <xf numFmtId="0" fontId="7" fillId="3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/>
    </xf>
    <xf numFmtId="14" fontId="7" fillId="2" borderId="1" xfId="0" applyNumberFormat="1" applyFont="1" applyFill="1" applyBorder="1" applyAlignment="1">
      <alignment horizontal="left"/>
    </xf>
    <xf numFmtId="165" fontId="7" fillId="3" borderId="1" xfId="0" applyNumberFormat="1" applyFont="1" applyFill="1" applyBorder="1" applyAlignment="1">
      <alignment horizontal="left"/>
    </xf>
    <xf numFmtId="14" fontId="7" fillId="3" borderId="1" xfId="0" applyNumberFormat="1" applyFont="1" applyFill="1" applyBorder="1" applyAlignment="1">
      <alignment horizontal="left" vertical="center"/>
    </xf>
    <xf numFmtId="0" fontId="5" fillId="2" borderId="1" xfId="0" applyFont="1" applyFill="1" applyBorder="1" applyAlignment="1" applyProtection="1">
      <alignment horizontal="left"/>
      <protection locked="0"/>
    </xf>
    <xf numFmtId="164" fontId="5" fillId="2" borderId="1" xfId="0" applyNumberFormat="1" applyFont="1" applyFill="1" applyBorder="1" applyAlignment="1" applyProtection="1">
      <alignment horizontal="left"/>
      <protection locked="0"/>
    </xf>
    <xf numFmtId="165" fontId="6" fillId="0" borderId="1" xfId="1" applyNumberFormat="1" applyFont="1" applyBorder="1" applyAlignment="1">
      <alignment horizontal="left"/>
    </xf>
    <xf numFmtId="14" fontId="7" fillId="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left" vertical="center"/>
    </xf>
    <xf numFmtId="14" fontId="5" fillId="2" borderId="1" xfId="0" applyNumberFormat="1" applyFont="1" applyFill="1" applyBorder="1" applyAlignment="1">
      <alignment horizontal="left" vertical="center"/>
    </xf>
    <xf numFmtId="14" fontId="5" fillId="4" borderId="1" xfId="0" applyNumberFormat="1" applyFont="1" applyFill="1" applyBorder="1" applyAlignment="1">
      <alignment horizontal="left"/>
    </xf>
    <xf numFmtId="0" fontId="6" fillId="2" borderId="1" xfId="0" applyFont="1" applyFill="1" applyBorder="1" applyAlignment="1" applyProtection="1">
      <alignment horizontal="left"/>
      <protection locked="0"/>
    </xf>
    <xf numFmtId="0" fontId="7" fillId="4" borderId="1" xfId="0" applyFont="1" applyFill="1" applyBorder="1" applyAlignment="1">
      <alignment horizontal="left"/>
    </xf>
    <xf numFmtId="165" fontId="7" fillId="4" borderId="1" xfId="1" applyNumberFormat="1" applyFont="1" applyFill="1" applyBorder="1" applyAlignment="1">
      <alignment horizontal="left"/>
    </xf>
    <xf numFmtId="165" fontId="7" fillId="4" borderId="1" xfId="0" applyNumberFormat="1" applyFont="1" applyFill="1" applyBorder="1" applyAlignment="1">
      <alignment horizontal="left"/>
    </xf>
    <xf numFmtId="14" fontId="5" fillId="0" borderId="1" xfId="0" applyNumberFormat="1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/>
    </xf>
    <xf numFmtId="14" fontId="7" fillId="3" borderId="1" xfId="0" applyNumberFormat="1" applyFont="1" applyFill="1" applyBorder="1" applyAlignment="1">
      <alignment horizontal="left"/>
    </xf>
    <xf numFmtId="165" fontId="7" fillId="3" borderId="1" xfId="1" applyNumberFormat="1" applyFont="1" applyFill="1" applyBorder="1" applyAlignment="1">
      <alignment horizontal="left"/>
    </xf>
    <xf numFmtId="49" fontId="6" fillId="2" borderId="2" xfId="0" applyNumberFormat="1" applyFont="1" applyFill="1" applyBorder="1" applyAlignment="1">
      <alignment horizontal="left"/>
    </xf>
    <xf numFmtId="0" fontId="5" fillId="2" borderId="2" xfId="0" applyFont="1" applyFill="1" applyBorder="1" applyAlignment="1">
      <alignment horizontal="left"/>
    </xf>
    <xf numFmtId="14" fontId="5" fillId="2" borderId="2" xfId="0" applyNumberFormat="1" applyFont="1" applyFill="1" applyBorder="1" applyAlignment="1">
      <alignment horizontal="left"/>
    </xf>
    <xf numFmtId="165" fontId="5" fillId="2" borderId="2" xfId="1" applyNumberFormat="1" applyFont="1" applyFill="1" applyBorder="1" applyAlignment="1">
      <alignment horizontal="left"/>
    </xf>
    <xf numFmtId="165" fontId="6" fillId="2" borderId="2" xfId="0" applyNumberFormat="1" applyFont="1" applyFill="1" applyBorder="1" applyAlignment="1">
      <alignment horizontal="left"/>
    </xf>
    <xf numFmtId="0" fontId="5" fillId="0" borderId="1" xfId="0" applyFont="1" applyBorder="1"/>
    <xf numFmtId="0" fontId="6" fillId="0" borderId="1" xfId="0" applyFont="1" applyBorder="1"/>
    <xf numFmtId="14" fontId="8" fillId="4" borderId="1" xfId="0" applyNumberFormat="1" applyFont="1" applyFill="1" applyBorder="1" applyAlignment="1">
      <alignment horizontal="center"/>
    </xf>
    <xf numFmtId="49" fontId="6" fillId="2" borderId="1" xfId="0" applyNumberFormat="1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2" borderId="1" xfId="0" applyFont="1" applyFill="1" applyBorder="1"/>
    <xf numFmtId="0" fontId="5" fillId="4" borderId="1" xfId="0" applyFont="1" applyFill="1" applyBorder="1"/>
    <xf numFmtId="165" fontId="5" fillId="0" borderId="1" xfId="0" applyNumberFormat="1" applyFont="1" applyBorder="1"/>
    <xf numFmtId="165" fontId="5" fillId="0" borderId="1" xfId="0" applyNumberFormat="1" applyFont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ECURSOS HUMANOS" id="{F1172E43-7E22-4AEF-A68F-9569652B6250}" userId="d0b2d3b9dfc0c22d" providerId="Windows Live"/>
  <person displayName="TENNESSEE RH" id="{E0A6FC96-71D7-44CF-B649-3486B2499436}" userId="eb79dbc3588a00a8" providerId="Windows Live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10" dT="2025-07-04T14:26:07.61" personId="{F1172E43-7E22-4AEF-A68F-9569652B6250}" id="{FD04489E-F843-442A-963E-D3D63E0DD552}">
    <text xml:space="preserve">24/03 inicio loja, sofreu acidente 04/06 estava recebendo sg desemprego, voltou dia 04/07.
</text>
  </threadedComment>
  <threadedComment ref="G193" dT="2025-10-13T14:25:28.56" personId="{E0A6FC96-71D7-44CF-B649-3486B2499436}" id="{9E0B72B8-2093-41CC-8985-9757491057A2}">
    <text>TRANSF EM 03/10/2025</text>
  </threadedComment>
  <threadedComment ref="J214" dT="2025-11-28T12:21:11.95" personId="{E0A6FC96-71D7-44CF-B649-3486B2499436}" id="{88EE5C47-FA16-4E84-8468-A9E6FB885CE1}">
    <text>VALOR ALTERADO EM 28 11 2025 A PEDIDO DO COLABORADOR. DOC PASTA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7D57A-E4C8-4C10-93FF-9E50587D3839}">
  <dimension ref="A1:R341"/>
  <sheetViews>
    <sheetView tabSelected="1" topLeftCell="A2" workbookViewId="0">
      <selection activeCell="D354" sqref="D354"/>
    </sheetView>
  </sheetViews>
  <sheetFormatPr defaultColWidth="9.85546875" defaultRowHeight="15.75" x14ac:dyDescent="0.25"/>
  <cols>
    <col min="1" max="1" width="19.42578125" style="1" bestFit="1" customWidth="1"/>
    <col min="2" max="2" width="55.85546875" style="1" bestFit="1" customWidth="1"/>
    <col min="3" max="3" width="14.85546875" style="1" customWidth="1"/>
    <col min="4" max="4" width="16" style="1" customWidth="1"/>
    <col min="5" max="5" width="13.5703125" style="1" customWidth="1"/>
    <col min="6" max="6" width="36.28515625" style="1" customWidth="1"/>
    <col min="7" max="7" width="31.5703125" style="1" customWidth="1"/>
    <col min="8" max="8" width="27.85546875" style="1" customWidth="1"/>
    <col min="9" max="9" width="16.42578125" style="1" customWidth="1"/>
    <col min="10" max="10" width="76.28515625" style="1" customWidth="1"/>
    <col min="11" max="11" width="20.28515625" style="1" customWidth="1"/>
    <col min="12" max="12" width="23.140625" style="1" customWidth="1"/>
    <col min="13" max="13" width="9" style="1" customWidth="1"/>
    <col min="14" max="14" width="22.85546875" style="1" customWidth="1"/>
    <col min="15" max="15" width="22.7109375" style="1" customWidth="1"/>
    <col min="16" max="16" width="14" style="1" customWidth="1"/>
    <col min="17" max="17" width="12.5703125" style="1" customWidth="1"/>
    <col min="18" max="18" width="21.28515625" style="1" bestFit="1" customWidth="1"/>
    <col min="19" max="16384" width="9.85546875" style="1"/>
  </cols>
  <sheetData>
    <row r="1" spans="1:18" ht="15.75" customHeight="1" x14ac:dyDescent="0.25">
      <c r="A1" s="66" t="s">
        <v>836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</row>
    <row r="2" spans="1:18" ht="11.25" customHeight="1" x14ac:dyDescent="0.25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</row>
    <row r="3" spans="1:18" ht="15.75" hidden="1" customHeight="1" x14ac:dyDescent="0.25">
      <c r="A3" s="67"/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</row>
    <row r="4" spans="1:18" ht="26.25" customHeight="1" x14ac:dyDescent="0.25">
      <c r="A4" s="2" t="s">
        <v>0</v>
      </c>
      <c r="B4" s="3" t="s">
        <v>1</v>
      </c>
      <c r="C4" s="2" t="s">
        <v>573</v>
      </c>
      <c r="D4" s="3" t="s">
        <v>574</v>
      </c>
      <c r="E4" s="3" t="s">
        <v>575</v>
      </c>
      <c r="F4" s="3" t="s">
        <v>576</v>
      </c>
      <c r="G4" s="2" t="s">
        <v>577</v>
      </c>
      <c r="H4" s="2" t="s">
        <v>578</v>
      </c>
      <c r="I4" s="3" t="s">
        <v>719</v>
      </c>
      <c r="J4" s="2" t="s">
        <v>720</v>
      </c>
      <c r="K4" s="4" t="s">
        <v>721</v>
      </c>
      <c r="L4" s="4" t="s">
        <v>722</v>
      </c>
      <c r="M4" s="3" t="s">
        <v>723</v>
      </c>
      <c r="N4" s="2" t="s">
        <v>724</v>
      </c>
      <c r="O4" s="2" t="s">
        <v>823</v>
      </c>
      <c r="P4" s="3" t="s">
        <v>824</v>
      </c>
      <c r="Q4" s="3" t="s">
        <v>834</v>
      </c>
      <c r="R4" s="3" t="s">
        <v>835</v>
      </c>
    </row>
    <row r="5" spans="1:18" x14ac:dyDescent="0.25">
      <c r="A5" s="5" t="s">
        <v>102</v>
      </c>
      <c r="B5" s="5" t="s">
        <v>103</v>
      </c>
      <c r="C5" s="6">
        <v>44357</v>
      </c>
      <c r="D5" s="5" t="s">
        <v>596</v>
      </c>
      <c r="E5" s="7" t="s">
        <v>580</v>
      </c>
      <c r="F5" s="8" t="s">
        <v>594</v>
      </c>
      <c r="G5" s="5" t="s">
        <v>597</v>
      </c>
      <c r="H5" s="5" t="s">
        <v>597</v>
      </c>
      <c r="I5" s="9" t="s">
        <v>725</v>
      </c>
      <c r="J5" s="5" t="s">
        <v>730</v>
      </c>
      <c r="K5" s="10">
        <v>5</v>
      </c>
      <c r="L5" s="10">
        <f>K5*2</f>
        <v>10</v>
      </c>
      <c r="M5" s="11"/>
      <c r="N5" s="5" t="s">
        <v>727</v>
      </c>
      <c r="O5" s="6">
        <v>45870</v>
      </c>
      <c r="P5" s="12">
        <v>45870</v>
      </c>
      <c r="Q5" s="8"/>
      <c r="R5" s="8"/>
    </row>
    <row r="6" spans="1:18" x14ac:dyDescent="0.25">
      <c r="A6" s="13" t="s">
        <v>470</v>
      </c>
      <c r="B6" s="5" t="s">
        <v>518</v>
      </c>
      <c r="C6" s="6" t="s">
        <v>689</v>
      </c>
      <c r="D6" s="14" t="s">
        <v>584</v>
      </c>
      <c r="E6" s="14" t="s">
        <v>600</v>
      </c>
      <c r="F6" s="8" t="s">
        <v>601</v>
      </c>
      <c r="G6" s="9" t="s">
        <v>681</v>
      </c>
      <c r="H6" s="9" t="s">
        <v>590</v>
      </c>
      <c r="I6" s="9" t="s">
        <v>725</v>
      </c>
      <c r="J6" s="15" t="s">
        <v>733</v>
      </c>
      <c r="K6" s="16">
        <v>1000</v>
      </c>
      <c r="L6" s="10">
        <f>K6*1</f>
        <v>1000</v>
      </c>
      <c r="M6" s="11"/>
      <c r="N6" s="5" t="s">
        <v>727</v>
      </c>
      <c r="O6" s="12">
        <v>45870</v>
      </c>
      <c r="P6" s="12">
        <v>45870</v>
      </c>
      <c r="Q6" s="8"/>
      <c r="R6" s="8"/>
    </row>
    <row r="7" spans="1:18" x14ac:dyDescent="0.25">
      <c r="A7" s="17" t="s">
        <v>337</v>
      </c>
      <c r="B7" s="9" t="s">
        <v>338</v>
      </c>
      <c r="C7" s="14">
        <v>45818</v>
      </c>
      <c r="D7" s="14" t="s">
        <v>617</v>
      </c>
      <c r="E7" s="13" t="s">
        <v>580</v>
      </c>
      <c r="F7" s="8" t="s">
        <v>594</v>
      </c>
      <c r="G7" s="9" t="s">
        <v>618</v>
      </c>
      <c r="H7" s="9" t="s">
        <v>618</v>
      </c>
      <c r="I7" s="9" t="s">
        <v>725</v>
      </c>
      <c r="J7" s="5" t="s">
        <v>745</v>
      </c>
      <c r="K7" s="10">
        <v>5.95</v>
      </c>
      <c r="L7" s="10">
        <f t="shared" ref="L7:L43" si="0">K7*2</f>
        <v>11.9</v>
      </c>
      <c r="M7" s="11"/>
      <c r="N7" s="5" t="s">
        <v>727</v>
      </c>
      <c r="O7" s="6">
        <v>45870</v>
      </c>
      <c r="P7" s="12">
        <v>45870</v>
      </c>
      <c r="Q7" s="8"/>
      <c r="R7" s="8"/>
    </row>
    <row r="8" spans="1:18" x14ac:dyDescent="0.25">
      <c r="A8" s="17" t="s">
        <v>470</v>
      </c>
      <c r="B8" s="9" t="s">
        <v>471</v>
      </c>
      <c r="C8" s="14">
        <v>45979</v>
      </c>
      <c r="D8" s="14" t="s">
        <v>617</v>
      </c>
      <c r="E8" s="13" t="s">
        <v>580</v>
      </c>
      <c r="F8" s="8" t="s">
        <v>594</v>
      </c>
      <c r="G8" s="9" t="s">
        <v>618</v>
      </c>
      <c r="H8" s="9" t="s">
        <v>618</v>
      </c>
      <c r="I8" s="9" t="s">
        <v>725</v>
      </c>
      <c r="J8" s="9" t="s">
        <v>797</v>
      </c>
      <c r="K8" s="10">
        <f>6.24+6.24</f>
        <v>12.48</v>
      </c>
      <c r="L8" s="10">
        <f t="shared" si="0"/>
        <v>24.96</v>
      </c>
      <c r="M8" s="18"/>
      <c r="N8" s="5" t="s">
        <v>727</v>
      </c>
      <c r="O8" s="6">
        <v>45982</v>
      </c>
      <c r="P8" s="6">
        <v>45982</v>
      </c>
      <c r="Q8" s="8"/>
      <c r="R8" s="8"/>
    </row>
    <row r="9" spans="1:18" x14ac:dyDescent="0.25">
      <c r="A9" s="19" t="s">
        <v>503</v>
      </c>
      <c r="B9" s="5" t="s">
        <v>504</v>
      </c>
      <c r="C9" s="6" t="s">
        <v>682</v>
      </c>
      <c r="D9" s="5" t="s">
        <v>666</v>
      </c>
      <c r="E9" s="14" t="s">
        <v>592</v>
      </c>
      <c r="F9" s="5" t="s">
        <v>593</v>
      </c>
      <c r="G9" s="5" t="s">
        <v>665</v>
      </c>
      <c r="H9" s="5" t="s">
        <v>665</v>
      </c>
      <c r="I9" s="9" t="s">
        <v>725</v>
      </c>
      <c r="J9" s="5" t="s">
        <v>810</v>
      </c>
      <c r="K9" s="20">
        <v>11.6</v>
      </c>
      <c r="L9" s="10">
        <f>K9*2</f>
        <v>23.2</v>
      </c>
      <c r="M9" s="11"/>
      <c r="N9" s="5" t="s">
        <v>727</v>
      </c>
      <c r="O9" s="12">
        <v>45870</v>
      </c>
      <c r="P9" s="12">
        <v>45870</v>
      </c>
      <c r="Q9" s="8"/>
      <c r="R9" s="8"/>
    </row>
    <row r="10" spans="1:18" x14ac:dyDescent="0.25">
      <c r="A10" s="19" t="s">
        <v>477</v>
      </c>
      <c r="B10" s="5" t="s">
        <v>478</v>
      </c>
      <c r="C10" s="6" t="s">
        <v>670</v>
      </c>
      <c r="D10" s="5" t="s">
        <v>666</v>
      </c>
      <c r="E10" s="13" t="s">
        <v>580</v>
      </c>
      <c r="F10" s="8" t="s">
        <v>594</v>
      </c>
      <c r="G10" s="5" t="s">
        <v>665</v>
      </c>
      <c r="H10" s="5" t="s">
        <v>665</v>
      </c>
      <c r="I10" s="15" t="s">
        <v>740</v>
      </c>
      <c r="J10" s="15" t="s">
        <v>740</v>
      </c>
      <c r="K10" s="34">
        <v>0</v>
      </c>
      <c r="L10" s="10">
        <f>K10*2</f>
        <v>0</v>
      </c>
      <c r="M10" s="11"/>
      <c r="N10" s="5" t="s">
        <v>727</v>
      </c>
      <c r="O10" s="12">
        <v>45870</v>
      </c>
      <c r="P10" s="12">
        <v>45870</v>
      </c>
      <c r="Q10" s="8"/>
      <c r="R10" s="8"/>
    </row>
    <row r="11" spans="1:18" x14ac:dyDescent="0.25">
      <c r="A11" s="21" t="s">
        <v>266</v>
      </c>
      <c r="B11" s="9" t="s">
        <v>267</v>
      </c>
      <c r="C11" s="6">
        <v>45498</v>
      </c>
      <c r="D11" s="6" t="s">
        <v>644</v>
      </c>
      <c r="E11" s="14" t="s">
        <v>592</v>
      </c>
      <c r="F11" s="5" t="s">
        <v>593</v>
      </c>
      <c r="G11" s="5" t="s">
        <v>645</v>
      </c>
      <c r="H11" s="5" t="s">
        <v>645</v>
      </c>
      <c r="I11" s="9" t="s">
        <v>725</v>
      </c>
      <c r="J11" s="5" t="s">
        <v>730</v>
      </c>
      <c r="K11" s="20">
        <v>5</v>
      </c>
      <c r="L11" s="10">
        <f>K11*2</f>
        <v>10</v>
      </c>
      <c r="M11" s="11"/>
      <c r="N11" s="5" t="s">
        <v>727</v>
      </c>
      <c r="O11" s="12">
        <v>45870</v>
      </c>
      <c r="P11" s="12">
        <v>45870</v>
      </c>
      <c r="Q11" s="8"/>
      <c r="R11" s="8"/>
    </row>
    <row r="12" spans="1:18" x14ac:dyDescent="0.25">
      <c r="A12" s="21" t="s">
        <v>405</v>
      </c>
      <c r="B12" s="5" t="s">
        <v>406</v>
      </c>
      <c r="C12" s="6">
        <v>45889</v>
      </c>
      <c r="D12" s="5" t="s">
        <v>602</v>
      </c>
      <c r="E12" s="13" t="s">
        <v>580</v>
      </c>
      <c r="F12" s="8" t="s">
        <v>633</v>
      </c>
      <c r="G12" s="5" t="s">
        <v>856</v>
      </c>
      <c r="H12" s="5" t="s">
        <v>856</v>
      </c>
      <c r="I12" s="9" t="s">
        <v>725</v>
      </c>
      <c r="J12" s="5" t="s">
        <v>734</v>
      </c>
      <c r="K12" s="20">
        <f>3.9+5</f>
        <v>8.9</v>
      </c>
      <c r="L12" s="10">
        <f>K12*2</f>
        <v>17.8</v>
      </c>
      <c r="M12" s="11"/>
      <c r="N12" s="5" t="s">
        <v>727</v>
      </c>
      <c r="O12" s="14">
        <v>45870</v>
      </c>
      <c r="P12" s="12">
        <v>45870</v>
      </c>
      <c r="Q12" s="8"/>
      <c r="R12" s="47">
        <v>45839</v>
      </c>
    </row>
    <row r="13" spans="1:18" x14ac:dyDescent="0.25">
      <c r="A13" s="22" t="s">
        <v>547</v>
      </c>
      <c r="B13" s="5" t="s">
        <v>548</v>
      </c>
      <c r="C13" s="6" t="s">
        <v>706</v>
      </c>
      <c r="D13" s="5" t="s">
        <v>660</v>
      </c>
      <c r="E13" s="13" t="s">
        <v>580</v>
      </c>
      <c r="F13" s="8" t="s">
        <v>594</v>
      </c>
      <c r="G13" s="5" t="s">
        <v>707</v>
      </c>
      <c r="H13" s="5" t="s">
        <v>583</v>
      </c>
      <c r="I13" s="9" t="s">
        <v>725</v>
      </c>
      <c r="J13" s="5" t="s">
        <v>818</v>
      </c>
      <c r="K13" s="20">
        <f>5.8+5.2</f>
        <v>11</v>
      </c>
      <c r="L13" s="10">
        <f>K13*2</f>
        <v>22</v>
      </c>
      <c r="M13" s="11"/>
      <c r="N13" s="5" t="s">
        <v>727</v>
      </c>
      <c r="O13" s="12">
        <v>45870</v>
      </c>
      <c r="P13" s="12">
        <v>45870</v>
      </c>
      <c r="Q13" s="8"/>
      <c r="R13" s="8"/>
    </row>
    <row r="14" spans="1:18" x14ac:dyDescent="0.25">
      <c r="A14" s="17" t="s">
        <v>207</v>
      </c>
      <c r="B14" s="9" t="s">
        <v>233</v>
      </c>
      <c r="C14" s="14">
        <v>45363</v>
      </c>
      <c r="D14" s="14" t="s">
        <v>612</v>
      </c>
      <c r="E14" s="13" t="s">
        <v>627</v>
      </c>
      <c r="F14" s="9" t="s">
        <v>629</v>
      </c>
      <c r="G14" s="9" t="s">
        <v>599</v>
      </c>
      <c r="H14" s="8" t="s">
        <v>599</v>
      </c>
      <c r="I14" s="9" t="s">
        <v>725</v>
      </c>
      <c r="J14" s="9" t="s">
        <v>772</v>
      </c>
      <c r="K14" s="16">
        <v>11.4</v>
      </c>
      <c r="L14" s="10">
        <f>K14*2</f>
        <v>22.8</v>
      </c>
      <c r="M14" s="11" t="s">
        <v>727</v>
      </c>
      <c r="N14" s="5" t="s">
        <v>717</v>
      </c>
      <c r="O14" s="12">
        <v>45870</v>
      </c>
      <c r="P14" s="12">
        <v>45870</v>
      </c>
      <c r="Q14" s="8"/>
      <c r="R14" s="8"/>
    </row>
    <row r="15" spans="1:18" x14ac:dyDescent="0.25">
      <c r="A15" s="19" t="s">
        <v>511</v>
      </c>
      <c r="B15" s="5" t="s">
        <v>512</v>
      </c>
      <c r="C15" s="6" t="s">
        <v>686</v>
      </c>
      <c r="D15" s="5" t="s">
        <v>660</v>
      </c>
      <c r="E15" s="13" t="s">
        <v>580</v>
      </c>
      <c r="F15" s="8" t="s">
        <v>594</v>
      </c>
      <c r="G15" s="5" t="s">
        <v>583</v>
      </c>
      <c r="H15" s="5" t="s">
        <v>583</v>
      </c>
      <c r="I15" s="9" t="s">
        <v>725</v>
      </c>
      <c r="J15" s="9" t="s">
        <v>806</v>
      </c>
      <c r="K15" s="16">
        <f>5.8+5.2</f>
        <v>11</v>
      </c>
      <c r="L15" s="10">
        <f>K15*2</f>
        <v>22</v>
      </c>
      <c r="M15" s="11"/>
      <c r="N15" s="5" t="s">
        <v>727</v>
      </c>
      <c r="O15" s="12">
        <v>45870</v>
      </c>
      <c r="P15" s="12">
        <v>45870</v>
      </c>
      <c r="Q15" s="8"/>
      <c r="R15" s="8"/>
    </row>
    <row r="16" spans="1:18" x14ac:dyDescent="0.25">
      <c r="A16" s="21" t="s">
        <v>350</v>
      </c>
      <c r="B16" s="5" t="s">
        <v>473</v>
      </c>
      <c r="C16" s="6">
        <v>45979</v>
      </c>
      <c r="D16" s="6" t="s">
        <v>639</v>
      </c>
      <c r="E16" s="13" t="s">
        <v>580</v>
      </c>
      <c r="F16" s="5" t="s">
        <v>604</v>
      </c>
      <c r="G16" s="5" t="s">
        <v>626</v>
      </c>
      <c r="H16" s="5" t="s">
        <v>626</v>
      </c>
      <c r="I16" s="9" t="s">
        <v>725</v>
      </c>
      <c r="J16" s="5" t="s">
        <v>730</v>
      </c>
      <c r="K16" s="10">
        <v>5</v>
      </c>
      <c r="L16" s="10">
        <f>K16*2</f>
        <v>10</v>
      </c>
      <c r="M16" s="23"/>
      <c r="N16" s="5" t="s">
        <v>727</v>
      </c>
      <c r="O16" s="6">
        <v>45989</v>
      </c>
      <c r="P16" s="6">
        <v>45989</v>
      </c>
      <c r="Q16" s="8"/>
      <c r="R16" s="24">
        <v>45993</v>
      </c>
    </row>
    <row r="17" spans="1:18" x14ac:dyDescent="0.25">
      <c r="A17" s="17" t="s">
        <v>339</v>
      </c>
      <c r="B17" s="22" t="s">
        <v>340</v>
      </c>
      <c r="C17" s="6">
        <v>45820</v>
      </c>
      <c r="D17" s="25" t="s">
        <v>639</v>
      </c>
      <c r="E17" s="13" t="s">
        <v>580</v>
      </c>
      <c r="F17" s="8" t="s">
        <v>594</v>
      </c>
      <c r="G17" s="5" t="s">
        <v>626</v>
      </c>
      <c r="H17" s="5" t="s">
        <v>626</v>
      </c>
      <c r="I17" s="9" t="s">
        <v>725</v>
      </c>
      <c r="J17" s="5" t="s">
        <v>730</v>
      </c>
      <c r="K17" s="20">
        <v>5</v>
      </c>
      <c r="L17" s="10">
        <f>K17*2</f>
        <v>10</v>
      </c>
      <c r="M17" s="11"/>
      <c r="N17" s="5" t="s">
        <v>727</v>
      </c>
      <c r="O17" s="21" t="s">
        <v>825</v>
      </c>
      <c r="P17" s="21" t="s">
        <v>825</v>
      </c>
      <c r="Q17" s="8"/>
      <c r="R17" s="8"/>
    </row>
    <row r="18" spans="1:18" x14ac:dyDescent="0.25">
      <c r="A18" s="13" t="s">
        <v>501</v>
      </c>
      <c r="B18" s="5" t="s">
        <v>502</v>
      </c>
      <c r="C18" s="6" t="s">
        <v>680</v>
      </c>
      <c r="D18" s="9" t="s">
        <v>596</v>
      </c>
      <c r="E18" s="13" t="s">
        <v>580</v>
      </c>
      <c r="F18" s="8" t="s">
        <v>594</v>
      </c>
      <c r="G18" s="9" t="s">
        <v>681</v>
      </c>
      <c r="H18" s="9" t="s">
        <v>590</v>
      </c>
      <c r="I18" s="9" t="s">
        <v>725</v>
      </c>
      <c r="J18" s="9" t="s">
        <v>809</v>
      </c>
      <c r="K18" s="16">
        <f>4.1+3.9</f>
        <v>8</v>
      </c>
      <c r="L18" s="10">
        <f>K18*2</f>
        <v>16</v>
      </c>
      <c r="M18" s="11"/>
      <c r="N18" s="5" t="s">
        <v>727</v>
      </c>
      <c r="O18" s="12">
        <v>45870</v>
      </c>
      <c r="P18" s="12">
        <v>45870</v>
      </c>
      <c r="Q18" s="8"/>
      <c r="R18" s="8"/>
    </row>
    <row r="19" spans="1:18" x14ac:dyDescent="0.25">
      <c r="A19" s="17" t="s">
        <v>318</v>
      </c>
      <c r="B19" s="5" t="s">
        <v>319</v>
      </c>
      <c r="C19" s="6">
        <v>45748</v>
      </c>
      <c r="D19" s="6" t="s">
        <v>584</v>
      </c>
      <c r="E19" s="6" t="s">
        <v>634</v>
      </c>
      <c r="F19" s="5" t="s">
        <v>635</v>
      </c>
      <c r="G19" s="9" t="s">
        <v>599</v>
      </c>
      <c r="H19" s="8" t="s">
        <v>599</v>
      </c>
      <c r="I19" s="9" t="s">
        <v>725</v>
      </c>
      <c r="J19" s="5" t="s">
        <v>730</v>
      </c>
      <c r="K19" s="20">
        <v>5</v>
      </c>
      <c r="L19" s="10">
        <f>K19*2</f>
        <v>10</v>
      </c>
      <c r="M19" s="11" t="s">
        <v>727</v>
      </c>
      <c r="N19" s="5" t="s">
        <v>717</v>
      </c>
      <c r="O19" s="12">
        <v>45870</v>
      </c>
      <c r="P19" s="12">
        <v>45870</v>
      </c>
      <c r="Q19" s="8"/>
      <c r="R19" s="8"/>
    </row>
    <row r="20" spans="1:18" x14ac:dyDescent="0.25">
      <c r="A20" s="21" t="s">
        <v>367</v>
      </c>
      <c r="B20" s="5" t="s">
        <v>568</v>
      </c>
      <c r="C20" s="14">
        <v>45980</v>
      </c>
      <c r="D20" s="5" t="s">
        <v>661</v>
      </c>
      <c r="E20" s="13" t="s">
        <v>580</v>
      </c>
      <c r="F20" s="8" t="s">
        <v>633</v>
      </c>
      <c r="G20" s="5" t="s">
        <v>625</v>
      </c>
      <c r="H20" s="9" t="s">
        <v>861</v>
      </c>
      <c r="I20" s="9" t="s">
        <v>725</v>
      </c>
      <c r="J20" s="5" t="s">
        <v>730</v>
      </c>
      <c r="K20" s="10">
        <v>5</v>
      </c>
      <c r="L20" s="10">
        <f>K20*2</f>
        <v>10</v>
      </c>
      <c r="M20" s="26"/>
      <c r="N20" s="5" t="s">
        <v>727</v>
      </c>
      <c r="O20" s="6">
        <v>45992</v>
      </c>
      <c r="P20" s="6">
        <v>45992</v>
      </c>
      <c r="Q20" s="8"/>
      <c r="R20" s="6">
        <v>45993</v>
      </c>
    </row>
    <row r="21" spans="1:18" x14ac:dyDescent="0.25">
      <c r="A21" s="5" t="s">
        <v>154</v>
      </c>
      <c r="B21" s="5" t="s">
        <v>155</v>
      </c>
      <c r="C21" s="6">
        <v>45071</v>
      </c>
      <c r="D21" s="5" t="s">
        <v>596</v>
      </c>
      <c r="E21" s="7" t="s">
        <v>580</v>
      </c>
      <c r="F21" s="5" t="s">
        <v>603</v>
      </c>
      <c r="G21" s="5" t="s">
        <v>597</v>
      </c>
      <c r="H21" s="5" t="s">
        <v>597</v>
      </c>
      <c r="I21" s="9" t="s">
        <v>725</v>
      </c>
      <c r="J21" s="5" t="s">
        <v>730</v>
      </c>
      <c r="K21" s="10">
        <v>5</v>
      </c>
      <c r="L21" s="10">
        <f>K21*2</f>
        <v>10</v>
      </c>
      <c r="M21" s="11"/>
      <c r="N21" s="5" t="s">
        <v>727</v>
      </c>
      <c r="O21" s="6">
        <v>45870</v>
      </c>
      <c r="P21" s="12">
        <v>45870</v>
      </c>
      <c r="Q21" s="8"/>
      <c r="R21" s="8"/>
    </row>
    <row r="22" spans="1:18" x14ac:dyDescent="0.25">
      <c r="A22" s="5" t="s">
        <v>66</v>
      </c>
      <c r="B22" s="5" t="s">
        <v>67</v>
      </c>
      <c r="C22" s="6">
        <v>43384</v>
      </c>
      <c r="D22" s="5" t="s">
        <v>596</v>
      </c>
      <c r="E22" s="7" t="s">
        <v>580</v>
      </c>
      <c r="F22" s="8" t="s">
        <v>594</v>
      </c>
      <c r="G22" s="5" t="s">
        <v>597</v>
      </c>
      <c r="H22" s="5" t="s">
        <v>597</v>
      </c>
      <c r="I22" s="9" t="s">
        <v>725</v>
      </c>
      <c r="J22" s="5" t="s">
        <v>730</v>
      </c>
      <c r="K22" s="10">
        <v>5</v>
      </c>
      <c r="L22" s="10">
        <f>K22*2</f>
        <v>10</v>
      </c>
      <c r="M22" s="11"/>
      <c r="N22" s="5" t="s">
        <v>727</v>
      </c>
      <c r="O22" s="6">
        <v>45870</v>
      </c>
      <c r="P22" s="12">
        <v>45870</v>
      </c>
      <c r="Q22" s="8"/>
      <c r="R22" s="8"/>
    </row>
    <row r="23" spans="1:18" x14ac:dyDescent="0.25">
      <c r="A23" s="21" t="s">
        <v>274</v>
      </c>
      <c r="B23" s="5" t="s">
        <v>448</v>
      </c>
      <c r="C23" s="6">
        <v>45959</v>
      </c>
      <c r="D23" s="14" t="s">
        <v>661</v>
      </c>
      <c r="E23" s="13" t="s">
        <v>580</v>
      </c>
      <c r="F23" s="8" t="s">
        <v>633</v>
      </c>
      <c r="G23" s="5" t="s">
        <v>625</v>
      </c>
      <c r="H23" s="9" t="s">
        <v>861</v>
      </c>
      <c r="I23" s="15" t="s">
        <v>740</v>
      </c>
      <c r="J23" s="15" t="s">
        <v>740</v>
      </c>
      <c r="K23" s="34">
        <v>0</v>
      </c>
      <c r="L23" s="10">
        <f>K23*2</f>
        <v>0</v>
      </c>
      <c r="M23" s="26">
        <v>0</v>
      </c>
      <c r="N23" s="5" t="s">
        <v>727</v>
      </c>
      <c r="O23" s="21" t="s">
        <v>833</v>
      </c>
      <c r="P23" s="21" t="s">
        <v>833</v>
      </c>
      <c r="Q23" s="8"/>
      <c r="R23" s="6">
        <v>45993</v>
      </c>
    </row>
    <row r="24" spans="1:18" x14ac:dyDescent="0.25">
      <c r="A24" s="21" t="s">
        <v>30</v>
      </c>
      <c r="B24" s="5" t="s">
        <v>31</v>
      </c>
      <c r="C24" s="6">
        <v>40996</v>
      </c>
      <c r="D24" s="5" t="s">
        <v>605</v>
      </c>
      <c r="E24" s="14" t="s">
        <v>592</v>
      </c>
      <c r="F24" s="5" t="s">
        <v>593</v>
      </c>
      <c r="G24" s="5" t="s">
        <v>606</v>
      </c>
      <c r="H24" s="5" t="s">
        <v>606</v>
      </c>
      <c r="I24" s="9" t="s">
        <v>725</v>
      </c>
      <c r="J24" s="5" t="s">
        <v>736</v>
      </c>
      <c r="K24" s="20">
        <f>5.5</f>
        <v>5.5</v>
      </c>
      <c r="L24" s="10">
        <f>K24*2</f>
        <v>11</v>
      </c>
      <c r="M24" s="11"/>
      <c r="N24" s="5" t="s">
        <v>727</v>
      </c>
      <c r="O24" s="6">
        <v>45870</v>
      </c>
      <c r="P24" s="12">
        <v>45870</v>
      </c>
      <c r="Q24" s="8"/>
      <c r="R24" s="8"/>
    </row>
    <row r="25" spans="1:18" x14ac:dyDescent="0.25">
      <c r="A25" s="17" t="s">
        <v>8</v>
      </c>
      <c r="B25" s="9" t="s">
        <v>9</v>
      </c>
      <c r="C25" s="14">
        <v>38622</v>
      </c>
      <c r="D25" s="14" t="s">
        <v>591</v>
      </c>
      <c r="E25" s="14" t="s">
        <v>592</v>
      </c>
      <c r="F25" s="5" t="s">
        <v>593</v>
      </c>
      <c r="G25" s="9" t="s">
        <v>588</v>
      </c>
      <c r="H25" s="9" t="s">
        <v>588</v>
      </c>
      <c r="I25" s="9" t="s">
        <v>725</v>
      </c>
      <c r="J25" s="5" t="s">
        <v>730</v>
      </c>
      <c r="K25" s="20">
        <v>5</v>
      </c>
      <c r="L25" s="10">
        <f>K25*2</f>
        <v>10</v>
      </c>
      <c r="M25" s="11"/>
      <c r="N25" s="5" t="s">
        <v>727</v>
      </c>
      <c r="O25" s="12">
        <v>45870</v>
      </c>
      <c r="P25" s="12">
        <v>45870</v>
      </c>
      <c r="Q25" s="8"/>
      <c r="R25" s="8"/>
    </row>
    <row r="26" spans="1:18" x14ac:dyDescent="0.25">
      <c r="A26" s="21" t="s">
        <v>282</v>
      </c>
      <c r="B26" s="5" t="s">
        <v>283</v>
      </c>
      <c r="C26" s="6">
        <v>45622</v>
      </c>
      <c r="D26" s="5" t="s">
        <v>605</v>
      </c>
      <c r="E26" s="13" t="s">
        <v>580</v>
      </c>
      <c r="F26" s="8" t="s">
        <v>633</v>
      </c>
      <c r="G26" s="5" t="s">
        <v>606</v>
      </c>
      <c r="H26" s="5" t="s">
        <v>606</v>
      </c>
      <c r="I26" s="9" t="s">
        <v>725</v>
      </c>
      <c r="J26" s="5" t="s">
        <v>737</v>
      </c>
      <c r="K26" s="20">
        <f>5.95</f>
        <v>5.95</v>
      </c>
      <c r="L26" s="10">
        <f>K26*2</f>
        <v>11.9</v>
      </c>
      <c r="M26" s="11"/>
      <c r="N26" s="5" t="s">
        <v>727</v>
      </c>
      <c r="O26" s="6">
        <v>45870</v>
      </c>
      <c r="P26" s="12">
        <v>45870</v>
      </c>
      <c r="Q26" s="8"/>
      <c r="R26" s="8"/>
    </row>
    <row r="27" spans="1:18" x14ac:dyDescent="0.25">
      <c r="A27" s="17" t="s">
        <v>198</v>
      </c>
      <c r="B27" s="5" t="s">
        <v>199</v>
      </c>
      <c r="C27" s="6">
        <v>45335</v>
      </c>
      <c r="D27" s="14" t="s">
        <v>612</v>
      </c>
      <c r="E27" s="6" t="s">
        <v>627</v>
      </c>
      <c r="F27" s="9" t="s">
        <v>628</v>
      </c>
      <c r="G27" s="9" t="s">
        <v>599</v>
      </c>
      <c r="H27" s="8" t="s">
        <v>599</v>
      </c>
      <c r="I27" s="9" t="s">
        <v>725</v>
      </c>
      <c r="J27" s="5" t="s">
        <v>730</v>
      </c>
      <c r="K27" s="20">
        <v>5</v>
      </c>
      <c r="L27" s="10">
        <f>K27*2</f>
        <v>10</v>
      </c>
      <c r="M27" s="11" t="s">
        <v>727</v>
      </c>
      <c r="N27" s="5" t="s">
        <v>717</v>
      </c>
      <c r="O27" s="12">
        <v>45870</v>
      </c>
      <c r="P27" s="12">
        <v>45870</v>
      </c>
      <c r="Q27" s="8"/>
      <c r="R27" s="8"/>
    </row>
    <row r="28" spans="1:18" x14ac:dyDescent="0.25">
      <c r="A28" s="19" t="s">
        <v>551</v>
      </c>
      <c r="B28" s="5" t="s">
        <v>552</v>
      </c>
      <c r="C28" s="6" t="s">
        <v>709</v>
      </c>
      <c r="D28" s="5" t="s">
        <v>660</v>
      </c>
      <c r="E28" s="14" t="s">
        <v>592</v>
      </c>
      <c r="F28" s="5" t="s">
        <v>593</v>
      </c>
      <c r="G28" s="5" t="s">
        <v>583</v>
      </c>
      <c r="H28" s="5" t="s">
        <v>583</v>
      </c>
      <c r="I28" s="9" t="s">
        <v>725</v>
      </c>
      <c r="J28" s="5" t="s">
        <v>820</v>
      </c>
      <c r="K28" s="20">
        <f>7.35</f>
        <v>7.35</v>
      </c>
      <c r="L28" s="10">
        <f>K28*2</f>
        <v>14.7</v>
      </c>
      <c r="M28" s="11"/>
      <c r="N28" s="5" t="s">
        <v>727</v>
      </c>
      <c r="O28" s="12">
        <v>45870</v>
      </c>
      <c r="P28" s="12">
        <v>45870</v>
      </c>
      <c r="Q28" s="8"/>
      <c r="R28" s="8"/>
    </row>
    <row r="29" spans="1:18" x14ac:dyDescent="0.25">
      <c r="A29" s="21" t="s">
        <v>466</v>
      </c>
      <c r="B29" s="5" t="s">
        <v>467</v>
      </c>
      <c r="C29" s="6">
        <v>45973</v>
      </c>
      <c r="D29" s="5" t="s">
        <v>644</v>
      </c>
      <c r="E29" s="14" t="s">
        <v>592</v>
      </c>
      <c r="F29" s="5" t="s">
        <v>593</v>
      </c>
      <c r="G29" s="5" t="s">
        <v>645</v>
      </c>
      <c r="H29" s="5" t="s">
        <v>645</v>
      </c>
      <c r="I29" s="9" t="s">
        <v>725</v>
      </c>
      <c r="J29" s="5" t="s">
        <v>730</v>
      </c>
      <c r="K29" s="10">
        <v>5</v>
      </c>
      <c r="L29" s="10">
        <f>K29*2</f>
        <v>10</v>
      </c>
      <c r="M29" s="23"/>
      <c r="N29" s="5" t="s">
        <v>727</v>
      </c>
      <c r="O29" s="6">
        <v>45975</v>
      </c>
      <c r="P29" s="21" t="s">
        <v>832</v>
      </c>
      <c r="Q29" s="8"/>
      <c r="R29" s="8"/>
    </row>
    <row r="30" spans="1:18" x14ac:dyDescent="0.25">
      <c r="A30" s="13" t="s">
        <v>479</v>
      </c>
      <c r="B30" s="5" t="s">
        <v>480</v>
      </c>
      <c r="C30" s="6" t="s">
        <v>671</v>
      </c>
      <c r="D30" s="5" t="s">
        <v>607</v>
      </c>
      <c r="E30" s="14" t="s">
        <v>592</v>
      </c>
      <c r="F30" s="5" t="s">
        <v>593</v>
      </c>
      <c r="G30" s="9" t="s">
        <v>590</v>
      </c>
      <c r="H30" s="9" t="s">
        <v>590</v>
      </c>
      <c r="I30" s="9" t="s">
        <v>725</v>
      </c>
      <c r="J30" s="9" t="s">
        <v>802</v>
      </c>
      <c r="K30" s="16">
        <v>10.199999999999999</v>
      </c>
      <c r="L30" s="10">
        <f>K30*2</f>
        <v>20.399999999999999</v>
      </c>
      <c r="M30" s="11"/>
      <c r="N30" s="5" t="s">
        <v>727</v>
      </c>
      <c r="O30" s="12">
        <v>45870</v>
      </c>
      <c r="P30" s="12">
        <v>45870</v>
      </c>
      <c r="Q30" s="8"/>
      <c r="R30" s="8"/>
    </row>
    <row r="31" spans="1:18" x14ac:dyDescent="0.25">
      <c r="A31" s="21" t="s">
        <v>367</v>
      </c>
      <c r="B31" s="5" t="s">
        <v>369</v>
      </c>
      <c r="C31" s="14">
        <v>45870</v>
      </c>
      <c r="D31" s="5" t="s">
        <v>661</v>
      </c>
      <c r="E31" s="13" t="s">
        <v>580</v>
      </c>
      <c r="F31" s="5" t="s">
        <v>604</v>
      </c>
      <c r="G31" s="5" t="s">
        <v>625</v>
      </c>
      <c r="H31" s="9" t="s">
        <v>861</v>
      </c>
      <c r="I31" s="9" t="s">
        <v>725</v>
      </c>
      <c r="J31" s="5" t="s">
        <v>730</v>
      </c>
      <c r="K31" s="20">
        <v>5</v>
      </c>
      <c r="L31" s="10">
        <f>K31*2</f>
        <v>10</v>
      </c>
      <c r="M31" s="11"/>
      <c r="N31" s="5" t="s">
        <v>727</v>
      </c>
      <c r="O31" s="21"/>
      <c r="P31" s="21"/>
      <c r="Q31" s="8"/>
      <c r="R31" s="8"/>
    </row>
    <row r="32" spans="1:18" x14ac:dyDescent="0.25">
      <c r="A32" s="17" t="s">
        <v>38</v>
      </c>
      <c r="B32" s="9" t="s">
        <v>39</v>
      </c>
      <c r="C32" s="14">
        <v>41547</v>
      </c>
      <c r="D32" s="14" t="s">
        <v>591</v>
      </c>
      <c r="E32" s="14" t="s">
        <v>608</v>
      </c>
      <c r="F32" s="5" t="s">
        <v>609</v>
      </c>
      <c r="G32" s="9" t="s">
        <v>588</v>
      </c>
      <c r="H32" s="9" t="s">
        <v>588</v>
      </c>
      <c r="I32" s="15" t="s">
        <v>740</v>
      </c>
      <c r="J32" s="15" t="s">
        <v>740</v>
      </c>
      <c r="K32" s="34">
        <v>0</v>
      </c>
      <c r="L32" s="10">
        <f>K32*2</f>
        <v>0</v>
      </c>
      <c r="M32" s="11"/>
      <c r="N32" s="5" t="s">
        <v>727</v>
      </c>
      <c r="O32" s="12">
        <v>45870</v>
      </c>
      <c r="P32" s="12">
        <v>45870</v>
      </c>
      <c r="Q32" s="8"/>
      <c r="R32" s="8"/>
    </row>
    <row r="33" spans="1:18" x14ac:dyDescent="0.25">
      <c r="A33" s="21" t="s">
        <v>186</v>
      </c>
      <c r="B33" s="9" t="s">
        <v>371</v>
      </c>
      <c r="C33" s="14">
        <v>45870</v>
      </c>
      <c r="D33" s="28" t="s">
        <v>661</v>
      </c>
      <c r="E33" s="13" t="s">
        <v>580</v>
      </c>
      <c r="F33" s="5" t="s">
        <v>604</v>
      </c>
      <c r="G33" s="9" t="s">
        <v>625</v>
      </c>
      <c r="H33" s="9" t="s">
        <v>861</v>
      </c>
      <c r="I33" s="9" t="s">
        <v>725</v>
      </c>
      <c r="J33" s="5" t="s">
        <v>730</v>
      </c>
      <c r="K33" s="20">
        <v>5</v>
      </c>
      <c r="L33" s="10">
        <f>K33*2</f>
        <v>10</v>
      </c>
      <c r="M33" s="11"/>
      <c r="N33" s="5" t="s">
        <v>727</v>
      </c>
      <c r="O33" s="21" t="s">
        <v>829</v>
      </c>
      <c r="P33" s="21" t="s">
        <v>829</v>
      </c>
      <c r="Q33" s="8"/>
      <c r="R33" s="8"/>
    </row>
    <row r="34" spans="1:18" x14ac:dyDescent="0.25">
      <c r="A34" s="19" t="s">
        <v>539</v>
      </c>
      <c r="B34" s="5" t="s">
        <v>540</v>
      </c>
      <c r="C34" s="6" t="s">
        <v>702</v>
      </c>
      <c r="D34" s="5" t="s">
        <v>660</v>
      </c>
      <c r="E34" s="13" t="s">
        <v>580</v>
      </c>
      <c r="F34" s="8" t="s">
        <v>594</v>
      </c>
      <c r="G34" s="5" t="s">
        <v>583</v>
      </c>
      <c r="H34" s="5" t="s">
        <v>583</v>
      </c>
      <c r="I34" s="9" t="s">
        <v>725</v>
      </c>
      <c r="J34" s="5" t="s">
        <v>795</v>
      </c>
      <c r="K34" s="20">
        <f>6.15</f>
        <v>6.15</v>
      </c>
      <c r="L34" s="10">
        <f>K34*2</f>
        <v>12.3</v>
      </c>
      <c r="M34" s="11"/>
      <c r="N34" s="5" t="s">
        <v>727</v>
      </c>
      <c r="O34" s="12">
        <v>45870</v>
      </c>
      <c r="P34" s="12">
        <v>45870</v>
      </c>
      <c r="Q34" s="8"/>
      <c r="R34" s="8"/>
    </row>
    <row r="35" spans="1:18" x14ac:dyDescent="0.25">
      <c r="A35" s="21" t="s">
        <v>205</v>
      </c>
      <c r="B35" s="5" t="s">
        <v>206</v>
      </c>
      <c r="C35" s="6">
        <v>45341</v>
      </c>
      <c r="D35" s="6" t="s">
        <v>639</v>
      </c>
      <c r="E35" s="13" t="s">
        <v>580</v>
      </c>
      <c r="F35" s="5" t="s">
        <v>604</v>
      </c>
      <c r="G35" s="5" t="s">
        <v>626</v>
      </c>
      <c r="H35" s="5" t="s">
        <v>626</v>
      </c>
      <c r="I35" s="9" t="s">
        <v>725</v>
      </c>
      <c r="J35" s="5" t="s">
        <v>730</v>
      </c>
      <c r="K35" s="20">
        <v>5</v>
      </c>
      <c r="L35" s="10">
        <f>K35*2</f>
        <v>10</v>
      </c>
      <c r="M35" s="11"/>
      <c r="N35" s="5" t="s">
        <v>727</v>
      </c>
      <c r="O35" s="12">
        <v>45870</v>
      </c>
      <c r="P35" s="12">
        <v>45870</v>
      </c>
      <c r="Q35" s="8"/>
      <c r="R35" s="8"/>
    </row>
    <row r="36" spans="1:18" x14ac:dyDescent="0.25">
      <c r="A36" s="19" t="s">
        <v>509</v>
      </c>
      <c r="B36" s="5" t="s">
        <v>510</v>
      </c>
      <c r="C36" s="6" t="s">
        <v>685</v>
      </c>
      <c r="D36" s="5" t="s">
        <v>666</v>
      </c>
      <c r="E36" s="13" t="s">
        <v>580</v>
      </c>
      <c r="F36" s="8" t="s">
        <v>581</v>
      </c>
      <c r="G36" s="5" t="s">
        <v>665</v>
      </c>
      <c r="H36" s="5" t="s">
        <v>665</v>
      </c>
      <c r="I36" s="15" t="s">
        <v>740</v>
      </c>
      <c r="J36" s="15" t="s">
        <v>740</v>
      </c>
      <c r="K36" s="34">
        <v>0</v>
      </c>
      <c r="L36" s="10">
        <f>K36*2</f>
        <v>0</v>
      </c>
      <c r="M36" s="11"/>
      <c r="N36" s="5" t="s">
        <v>727</v>
      </c>
      <c r="O36" s="12">
        <v>45870</v>
      </c>
      <c r="P36" s="12">
        <v>45870</v>
      </c>
      <c r="Q36" s="8"/>
      <c r="R36" s="8"/>
    </row>
    <row r="37" spans="1:18" x14ac:dyDescent="0.25">
      <c r="A37" s="21" t="s">
        <v>248</v>
      </c>
      <c r="B37" s="5" t="s">
        <v>249</v>
      </c>
      <c r="C37" s="6">
        <v>45414</v>
      </c>
      <c r="D37" s="5" t="s">
        <v>605</v>
      </c>
      <c r="E37" s="13" t="s">
        <v>580</v>
      </c>
      <c r="F37" s="5" t="s">
        <v>632</v>
      </c>
      <c r="G37" s="5" t="s">
        <v>638</v>
      </c>
      <c r="H37" s="5" t="s">
        <v>606</v>
      </c>
      <c r="I37" s="9" t="s">
        <v>725</v>
      </c>
      <c r="J37" s="5" t="s">
        <v>730</v>
      </c>
      <c r="K37" s="20">
        <v>5</v>
      </c>
      <c r="L37" s="10">
        <f>K37*2</f>
        <v>10</v>
      </c>
      <c r="M37" s="11"/>
      <c r="N37" s="5" t="s">
        <v>727</v>
      </c>
      <c r="O37" s="6">
        <v>45870</v>
      </c>
      <c r="P37" s="12">
        <v>45870</v>
      </c>
      <c r="Q37" s="8"/>
      <c r="R37" s="8"/>
    </row>
    <row r="38" spans="1:18" x14ac:dyDescent="0.25">
      <c r="A38" s="21" t="s">
        <v>209</v>
      </c>
      <c r="B38" s="9" t="s">
        <v>210</v>
      </c>
      <c r="C38" s="6">
        <v>45341</v>
      </c>
      <c r="D38" s="6" t="s">
        <v>639</v>
      </c>
      <c r="E38" s="5" t="s">
        <v>641</v>
      </c>
      <c r="F38" s="5" t="s">
        <v>642</v>
      </c>
      <c r="G38" s="5" t="s">
        <v>626</v>
      </c>
      <c r="H38" s="5" t="s">
        <v>626</v>
      </c>
      <c r="I38" s="9" t="s">
        <v>725</v>
      </c>
      <c r="J38" s="5" t="s">
        <v>730</v>
      </c>
      <c r="K38" s="20">
        <v>5</v>
      </c>
      <c r="L38" s="10">
        <f>K38*2</f>
        <v>10</v>
      </c>
      <c r="M38" s="11"/>
      <c r="N38" s="5" t="s">
        <v>727</v>
      </c>
      <c r="O38" s="12">
        <v>45870</v>
      </c>
      <c r="P38" s="12">
        <v>45870</v>
      </c>
      <c r="Q38" s="8"/>
      <c r="R38" s="8"/>
    </row>
    <row r="39" spans="1:18" x14ac:dyDescent="0.25">
      <c r="A39" s="5" t="s">
        <v>6</v>
      </c>
      <c r="B39" s="5" t="s">
        <v>7</v>
      </c>
      <c r="C39" s="6">
        <v>38453</v>
      </c>
      <c r="D39" s="5" t="s">
        <v>607</v>
      </c>
      <c r="E39" s="7" t="s">
        <v>580</v>
      </c>
      <c r="F39" s="8" t="s">
        <v>581</v>
      </c>
      <c r="G39" s="5" t="s">
        <v>590</v>
      </c>
      <c r="H39" s="5" t="s">
        <v>847</v>
      </c>
      <c r="I39" s="9" t="s">
        <v>725</v>
      </c>
      <c r="J39" s="5" t="s">
        <v>729</v>
      </c>
      <c r="K39" s="10">
        <f>6.65+6.85</f>
        <v>13.5</v>
      </c>
      <c r="L39" s="10">
        <f>K39*2</f>
        <v>27</v>
      </c>
      <c r="M39" s="11"/>
      <c r="N39" s="5" t="s">
        <v>727</v>
      </c>
      <c r="O39" s="5"/>
      <c r="P39" s="5"/>
      <c r="Q39" s="8"/>
      <c r="R39" s="8"/>
    </row>
    <row r="40" spans="1:18" x14ac:dyDescent="0.25">
      <c r="A40" s="21" t="s">
        <v>445</v>
      </c>
      <c r="B40" s="5" t="s">
        <v>446</v>
      </c>
      <c r="C40" s="6">
        <v>45954</v>
      </c>
      <c r="D40" s="28" t="s">
        <v>644</v>
      </c>
      <c r="E40" s="14" t="s">
        <v>655</v>
      </c>
      <c r="F40" s="5" t="s">
        <v>656</v>
      </c>
      <c r="G40" s="5" t="s">
        <v>645</v>
      </c>
      <c r="H40" s="9" t="s">
        <v>645</v>
      </c>
      <c r="I40" s="9" t="s">
        <v>725</v>
      </c>
      <c r="J40" s="5" t="s">
        <v>730</v>
      </c>
      <c r="K40" s="29">
        <v>5</v>
      </c>
      <c r="L40" s="10">
        <f>K40*2</f>
        <v>10</v>
      </c>
      <c r="M40" s="11"/>
      <c r="N40" s="5" t="s">
        <v>727</v>
      </c>
      <c r="O40" s="30" t="s">
        <v>831</v>
      </c>
      <c r="P40" s="30" t="s">
        <v>831</v>
      </c>
      <c r="Q40" s="8"/>
      <c r="R40" s="8"/>
    </row>
    <row r="41" spans="1:18" x14ac:dyDescent="0.25">
      <c r="A41" s="21" t="s">
        <v>389</v>
      </c>
      <c r="B41" s="5" t="s">
        <v>390</v>
      </c>
      <c r="C41" s="6">
        <v>45874</v>
      </c>
      <c r="D41" s="5" t="s">
        <v>602</v>
      </c>
      <c r="E41" s="13" t="s">
        <v>580</v>
      </c>
      <c r="F41" s="5" t="s">
        <v>603</v>
      </c>
      <c r="G41" s="5" t="s">
        <v>856</v>
      </c>
      <c r="H41" s="5" t="s">
        <v>856</v>
      </c>
      <c r="I41" s="9" t="s">
        <v>725</v>
      </c>
      <c r="J41" s="5" t="s">
        <v>730</v>
      </c>
      <c r="K41" s="20">
        <v>5</v>
      </c>
      <c r="L41" s="10">
        <f>K41*2</f>
        <v>10</v>
      </c>
      <c r="M41" s="11"/>
      <c r="N41" s="5" t="s">
        <v>727</v>
      </c>
      <c r="O41" s="14">
        <v>45919</v>
      </c>
      <c r="P41" s="14">
        <v>45919</v>
      </c>
      <c r="Q41" s="8"/>
      <c r="R41" s="47">
        <v>46003</v>
      </c>
    </row>
    <row r="42" spans="1:18" x14ac:dyDescent="0.25">
      <c r="A42" s="21" t="s">
        <v>296</v>
      </c>
      <c r="B42" s="5" t="s">
        <v>297</v>
      </c>
      <c r="C42" s="6">
        <v>45673</v>
      </c>
      <c r="D42" s="5" t="s">
        <v>605</v>
      </c>
      <c r="E42" s="13" t="s">
        <v>580</v>
      </c>
      <c r="F42" s="5" t="s">
        <v>603</v>
      </c>
      <c r="G42" s="5" t="s">
        <v>606</v>
      </c>
      <c r="H42" s="5" t="s">
        <v>606</v>
      </c>
      <c r="I42" s="9" t="s">
        <v>725</v>
      </c>
      <c r="J42" s="5" t="s">
        <v>736</v>
      </c>
      <c r="K42" s="20">
        <f>5.5</f>
        <v>5.5</v>
      </c>
      <c r="L42" s="10">
        <f>K42*2</f>
        <v>11</v>
      </c>
      <c r="M42" s="11"/>
      <c r="N42" s="5" t="s">
        <v>727</v>
      </c>
      <c r="O42" s="6">
        <v>45870</v>
      </c>
      <c r="P42" s="12">
        <v>45870</v>
      </c>
      <c r="Q42" s="8"/>
      <c r="R42" s="8"/>
    </row>
    <row r="43" spans="1:18" x14ac:dyDescent="0.25">
      <c r="A43" s="21" t="s">
        <v>205</v>
      </c>
      <c r="B43" s="5" t="s">
        <v>451</v>
      </c>
      <c r="C43" s="6">
        <v>45961</v>
      </c>
      <c r="D43" s="5" t="s">
        <v>661</v>
      </c>
      <c r="E43" s="13" t="s">
        <v>580</v>
      </c>
      <c r="F43" s="8" t="s">
        <v>633</v>
      </c>
      <c r="G43" s="5" t="s">
        <v>625</v>
      </c>
      <c r="H43" s="9" t="s">
        <v>861</v>
      </c>
      <c r="I43" s="9" t="s">
        <v>725</v>
      </c>
      <c r="J43" s="5" t="s">
        <v>730</v>
      </c>
      <c r="K43" s="20">
        <v>5</v>
      </c>
      <c r="L43" s="10">
        <f>K43*2</f>
        <v>10</v>
      </c>
      <c r="M43" s="11"/>
      <c r="N43" s="5" t="s">
        <v>727</v>
      </c>
      <c r="O43" s="21" t="s">
        <v>832</v>
      </c>
      <c r="P43" s="21" t="s">
        <v>832</v>
      </c>
      <c r="Q43" s="8"/>
      <c r="R43" s="6">
        <v>45993</v>
      </c>
    </row>
    <row r="44" spans="1:18" x14ac:dyDescent="0.25">
      <c r="A44" s="21" t="s">
        <v>34</v>
      </c>
      <c r="B44" s="5" t="s">
        <v>35</v>
      </c>
      <c r="C44" s="6">
        <v>41138</v>
      </c>
      <c r="D44" s="5" t="s">
        <v>602</v>
      </c>
      <c r="E44" s="14" t="s">
        <v>600</v>
      </c>
      <c r="F44" s="8" t="s">
        <v>601</v>
      </c>
      <c r="G44" s="5" t="s">
        <v>856</v>
      </c>
      <c r="H44" s="5" t="s">
        <v>856</v>
      </c>
      <c r="I44" s="9" t="s">
        <v>725</v>
      </c>
      <c r="J44" s="15" t="s">
        <v>738</v>
      </c>
      <c r="K44" s="11">
        <v>800</v>
      </c>
      <c r="L44" s="10">
        <f>K44*1</f>
        <v>800</v>
      </c>
      <c r="M44" s="11"/>
      <c r="N44" s="5" t="s">
        <v>727</v>
      </c>
      <c r="O44" s="14">
        <v>45870</v>
      </c>
      <c r="P44" s="12">
        <v>45870</v>
      </c>
      <c r="Q44" s="8"/>
      <c r="R44" s="8"/>
    </row>
    <row r="45" spans="1:18" x14ac:dyDescent="0.25">
      <c r="A45" s="17" t="s">
        <v>289</v>
      </c>
      <c r="B45" s="9" t="s">
        <v>290</v>
      </c>
      <c r="C45" s="14">
        <v>45638</v>
      </c>
      <c r="D45" s="14" t="s">
        <v>617</v>
      </c>
      <c r="E45" s="13" t="s">
        <v>580</v>
      </c>
      <c r="F45" s="5" t="s">
        <v>603</v>
      </c>
      <c r="G45" s="9" t="s">
        <v>618</v>
      </c>
      <c r="H45" s="9" t="s">
        <v>618</v>
      </c>
      <c r="I45" s="9" t="s">
        <v>725</v>
      </c>
      <c r="J45" s="5" t="s">
        <v>745</v>
      </c>
      <c r="K45" s="10">
        <v>5.95</v>
      </c>
      <c r="L45" s="10">
        <f>K45*2</f>
        <v>11.9</v>
      </c>
      <c r="M45" s="11"/>
      <c r="N45" s="5" t="s">
        <v>727</v>
      </c>
      <c r="O45" s="6">
        <v>45870</v>
      </c>
      <c r="P45" s="12">
        <v>45870</v>
      </c>
      <c r="Q45" s="8"/>
      <c r="R45" s="8"/>
    </row>
    <row r="46" spans="1:18" x14ac:dyDescent="0.25">
      <c r="A46" s="17" t="s">
        <v>122</v>
      </c>
      <c r="B46" s="9" t="s">
        <v>123</v>
      </c>
      <c r="C46" s="14">
        <v>44592</v>
      </c>
      <c r="D46" s="14" t="s">
        <v>591</v>
      </c>
      <c r="E46" s="14" t="s">
        <v>592</v>
      </c>
      <c r="F46" s="5" t="s">
        <v>593</v>
      </c>
      <c r="G46" s="9" t="s">
        <v>588</v>
      </c>
      <c r="H46" s="9" t="s">
        <v>588</v>
      </c>
      <c r="I46" s="9" t="s">
        <v>725</v>
      </c>
      <c r="J46" s="5" t="s">
        <v>730</v>
      </c>
      <c r="K46" s="20">
        <v>5</v>
      </c>
      <c r="L46" s="10">
        <f>K46*2</f>
        <v>10</v>
      </c>
      <c r="M46" s="11"/>
      <c r="N46" s="5" t="s">
        <v>727</v>
      </c>
      <c r="O46" s="12">
        <v>45870</v>
      </c>
      <c r="P46" s="12">
        <v>45870</v>
      </c>
      <c r="Q46" s="8"/>
      <c r="R46" s="8"/>
    </row>
    <row r="47" spans="1:18" x14ac:dyDescent="0.25">
      <c r="A47" s="19" t="s">
        <v>533</v>
      </c>
      <c r="B47" s="5" t="s">
        <v>534</v>
      </c>
      <c r="C47" s="6" t="s">
        <v>699</v>
      </c>
      <c r="D47" s="5" t="s">
        <v>660</v>
      </c>
      <c r="E47" s="13" t="s">
        <v>580</v>
      </c>
      <c r="F47" s="8" t="s">
        <v>633</v>
      </c>
      <c r="G47" s="5" t="s">
        <v>583</v>
      </c>
      <c r="H47" s="5" t="s">
        <v>583</v>
      </c>
      <c r="I47" s="15" t="s">
        <v>740</v>
      </c>
      <c r="J47" s="15" t="s">
        <v>740</v>
      </c>
      <c r="K47" s="34">
        <v>0</v>
      </c>
      <c r="L47" s="10">
        <f>K47*2</f>
        <v>0</v>
      </c>
      <c r="M47" s="11"/>
      <c r="N47" s="5" t="s">
        <v>727</v>
      </c>
      <c r="O47" s="12">
        <v>45870</v>
      </c>
      <c r="P47" s="12">
        <v>45870</v>
      </c>
      <c r="Q47" s="8"/>
      <c r="R47" s="8"/>
    </row>
    <row r="48" spans="1:18" x14ac:dyDescent="0.25">
      <c r="A48" s="5" t="s">
        <v>852</v>
      </c>
      <c r="B48" s="5" t="s">
        <v>476</v>
      </c>
      <c r="C48" s="6">
        <v>45980</v>
      </c>
      <c r="D48" s="5" t="s">
        <v>596</v>
      </c>
      <c r="E48" s="13" t="s">
        <v>580</v>
      </c>
      <c r="F48" s="5" t="s">
        <v>633</v>
      </c>
      <c r="G48" s="5" t="s">
        <v>669</v>
      </c>
      <c r="H48" s="5" t="s">
        <v>597</v>
      </c>
      <c r="I48" s="9" t="s">
        <v>725</v>
      </c>
      <c r="J48" s="5" t="s">
        <v>730</v>
      </c>
      <c r="K48" s="10">
        <v>5</v>
      </c>
      <c r="L48" s="10">
        <f>K48*2</f>
        <v>10</v>
      </c>
      <c r="M48" s="26"/>
      <c r="N48" s="5" t="s">
        <v>727</v>
      </c>
      <c r="O48" s="6">
        <v>45992</v>
      </c>
      <c r="P48" s="6">
        <v>45992</v>
      </c>
      <c r="Q48" s="8"/>
      <c r="R48" s="24">
        <v>45993</v>
      </c>
    </row>
    <row r="49" spans="1:18" x14ac:dyDescent="0.25">
      <c r="A49" s="21" t="s">
        <v>219</v>
      </c>
      <c r="B49" s="5" t="s">
        <v>444</v>
      </c>
      <c r="C49" s="6">
        <v>45953</v>
      </c>
      <c r="D49" s="14" t="s">
        <v>661</v>
      </c>
      <c r="E49" s="13" t="s">
        <v>580</v>
      </c>
      <c r="F49" s="8" t="s">
        <v>603</v>
      </c>
      <c r="G49" s="5" t="s">
        <v>625</v>
      </c>
      <c r="H49" s="9" t="s">
        <v>861</v>
      </c>
      <c r="I49" s="15" t="s">
        <v>740</v>
      </c>
      <c r="J49" s="15" t="s">
        <v>740</v>
      </c>
      <c r="K49" s="34">
        <v>0</v>
      </c>
      <c r="L49" s="10">
        <f>K49*2</f>
        <v>0</v>
      </c>
      <c r="M49" s="11"/>
      <c r="N49" s="5" t="s">
        <v>727</v>
      </c>
      <c r="O49" s="21" t="s">
        <v>832</v>
      </c>
      <c r="P49" s="21" t="s">
        <v>832</v>
      </c>
      <c r="Q49" s="8"/>
      <c r="R49" s="6">
        <v>45998</v>
      </c>
    </row>
    <row r="50" spans="1:18" x14ac:dyDescent="0.25">
      <c r="A50" s="21" t="s">
        <v>56</v>
      </c>
      <c r="B50" s="5" t="s">
        <v>57</v>
      </c>
      <c r="C50" s="6">
        <v>42837</v>
      </c>
      <c r="D50" s="5" t="s">
        <v>602</v>
      </c>
      <c r="E50" s="13" t="s">
        <v>580</v>
      </c>
      <c r="F50" s="5" t="s">
        <v>603</v>
      </c>
      <c r="G50" s="5" t="s">
        <v>856</v>
      </c>
      <c r="H50" s="5" t="s">
        <v>856</v>
      </c>
      <c r="I50" s="9" t="s">
        <v>725</v>
      </c>
      <c r="J50" s="5" t="s">
        <v>730</v>
      </c>
      <c r="K50" s="20">
        <v>5</v>
      </c>
      <c r="L50" s="10">
        <f>K50*2</f>
        <v>10</v>
      </c>
      <c r="M50" s="11"/>
      <c r="N50" s="5" t="s">
        <v>727</v>
      </c>
      <c r="O50" s="14">
        <v>45870</v>
      </c>
      <c r="P50" s="12">
        <v>45870</v>
      </c>
      <c r="Q50" s="8"/>
      <c r="R50" s="8"/>
    </row>
    <row r="51" spans="1:18" x14ac:dyDescent="0.25">
      <c r="A51" s="17" t="s">
        <v>190</v>
      </c>
      <c r="B51" s="9" t="s">
        <v>191</v>
      </c>
      <c r="C51" s="14">
        <v>45308</v>
      </c>
      <c r="D51" s="14" t="s">
        <v>612</v>
      </c>
      <c r="E51" s="6" t="s">
        <v>627</v>
      </c>
      <c r="F51" s="9" t="s">
        <v>628</v>
      </c>
      <c r="G51" s="9" t="s">
        <v>599</v>
      </c>
      <c r="H51" s="8" t="s">
        <v>599</v>
      </c>
      <c r="I51" s="9" t="s">
        <v>725</v>
      </c>
      <c r="J51" s="5" t="s">
        <v>730</v>
      </c>
      <c r="K51" s="20">
        <v>5</v>
      </c>
      <c r="L51" s="10">
        <f>K51*2</f>
        <v>10</v>
      </c>
      <c r="M51" s="11" t="s">
        <v>727</v>
      </c>
      <c r="N51" s="5" t="s">
        <v>717</v>
      </c>
      <c r="O51" s="12">
        <v>45870</v>
      </c>
      <c r="P51" s="12">
        <v>45870</v>
      </c>
      <c r="Q51" s="8"/>
      <c r="R51" s="8"/>
    </row>
    <row r="52" spans="1:18" x14ac:dyDescent="0.25">
      <c r="A52" s="17" t="s">
        <v>334</v>
      </c>
      <c r="B52" s="22" t="s">
        <v>335</v>
      </c>
      <c r="C52" s="6">
        <v>45807</v>
      </c>
      <c r="D52" s="6" t="s">
        <v>644</v>
      </c>
      <c r="E52" s="9" t="s">
        <v>641</v>
      </c>
      <c r="F52" s="9" t="s">
        <v>654</v>
      </c>
      <c r="G52" s="5" t="s">
        <v>645</v>
      </c>
      <c r="H52" s="5" t="s">
        <v>645</v>
      </c>
      <c r="I52" s="9" t="s">
        <v>725</v>
      </c>
      <c r="J52" s="5" t="s">
        <v>730</v>
      </c>
      <c r="K52" s="20">
        <v>5</v>
      </c>
      <c r="L52" s="10">
        <f>K52*2</f>
        <v>10</v>
      </c>
      <c r="M52" s="11"/>
      <c r="N52" s="5" t="s">
        <v>727</v>
      </c>
      <c r="O52" s="12">
        <v>45870</v>
      </c>
      <c r="P52" s="12">
        <v>45870</v>
      </c>
      <c r="Q52" s="8"/>
      <c r="R52" s="8"/>
    </row>
    <row r="53" spans="1:18" x14ac:dyDescent="0.25">
      <c r="A53" s="5" t="s">
        <v>166</v>
      </c>
      <c r="B53" s="5" t="s">
        <v>167</v>
      </c>
      <c r="C53" s="6">
        <v>45166</v>
      </c>
      <c r="D53" s="5" t="s">
        <v>596</v>
      </c>
      <c r="E53" s="7" t="s">
        <v>580</v>
      </c>
      <c r="F53" s="5" t="s">
        <v>603</v>
      </c>
      <c r="G53" s="5" t="s">
        <v>597</v>
      </c>
      <c r="H53" s="5" t="s">
        <v>597</v>
      </c>
      <c r="I53" s="9" t="s">
        <v>725</v>
      </c>
      <c r="J53" s="5" t="s">
        <v>764</v>
      </c>
      <c r="K53" s="10">
        <f>5.8+5.2</f>
        <v>11</v>
      </c>
      <c r="L53" s="10">
        <f>K53*2</f>
        <v>22</v>
      </c>
      <c r="M53" s="11">
        <v>0</v>
      </c>
      <c r="N53" s="5" t="s">
        <v>727</v>
      </c>
      <c r="O53" s="6">
        <v>45870</v>
      </c>
      <c r="P53" s="12">
        <v>45870</v>
      </c>
      <c r="Q53" s="8"/>
      <c r="R53" s="8"/>
    </row>
    <row r="54" spans="1:18" x14ac:dyDescent="0.25">
      <c r="A54" s="17" t="s">
        <v>291</v>
      </c>
      <c r="B54" s="9" t="s">
        <v>292</v>
      </c>
      <c r="C54" s="14">
        <v>45647</v>
      </c>
      <c r="D54" s="14" t="s">
        <v>617</v>
      </c>
      <c r="E54" s="13" t="s">
        <v>580</v>
      </c>
      <c r="F54" s="5" t="s">
        <v>603</v>
      </c>
      <c r="G54" s="9" t="s">
        <v>618</v>
      </c>
      <c r="H54" s="9" t="s">
        <v>618</v>
      </c>
      <c r="I54" s="9" t="s">
        <v>725</v>
      </c>
      <c r="J54" s="9" t="s">
        <v>745</v>
      </c>
      <c r="K54" s="11">
        <v>5.95</v>
      </c>
      <c r="L54" s="10">
        <f>K54*2</f>
        <v>11.9</v>
      </c>
      <c r="M54" s="11"/>
      <c r="N54" s="5" t="s">
        <v>727</v>
      </c>
      <c r="O54" s="6">
        <v>45870</v>
      </c>
      <c r="P54" s="12">
        <v>45870</v>
      </c>
      <c r="Q54" s="8"/>
      <c r="R54" s="8"/>
    </row>
    <row r="55" spans="1:18" x14ac:dyDescent="0.25">
      <c r="A55" s="21" t="s">
        <v>422</v>
      </c>
      <c r="B55" s="5" t="s">
        <v>423</v>
      </c>
      <c r="C55" s="6">
        <v>45926</v>
      </c>
      <c r="D55" s="5" t="s">
        <v>666</v>
      </c>
      <c r="E55" s="14" t="s">
        <v>592</v>
      </c>
      <c r="F55" s="5" t="s">
        <v>593</v>
      </c>
      <c r="G55" s="5" t="s">
        <v>665</v>
      </c>
      <c r="H55" s="5" t="s">
        <v>665</v>
      </c>
      <c r="I55" s="9" t="s">
        <v>725</v>
      </c>
      <c r="J55" s="5" t="s">
        <v>791</v>
      </c>
      <c r="K55" s="11">
        <v>7.35</v>
      </c>
      <c r="L55" s="10">
        <f>K55*2</f>
        <v>14.7</v>
      </c>
      <c r="M55" s="11"/>
      <c r="N55" s="5" t="s">
        <v>727</v>
      </c>
      <c r="O55" s="6">
        <v>45930</v>
      </c>
      <c r="P55" s="6">
        <v>45930</v>
      </c>
      <c r="Q55" s="8"/>
      <c r="R55" s="8"/>
    </row>
    <row r="56" spans="1:18" x14ac:dyDescent="0.25">
      <c r="A56" s="21" t="s">
        <v>367</v>
      </c>
      <c r="B56" s="5" t="s">
        <v>475</v>
      </c>
      <c r="C56" s="6">
        <v>45980</v>
      </c>
      <c r="D56" s="5" t="s">
        <v>644</v>
      </c>
      <c r="E56" s="9" t="s">
        <v>580</v>
      </c>
      <c r="F56" s="8" t="s">
        <v>594</v>
      </c>
      <c r="G56" s="5" t="s">
        <v>645</v>
      </c>
      <c r="H56" s="5" t="s">
        <v>645</v>
      </c>
      <c r="I56" s="9" t="s">
        <v>725</v>
      </c>
      <c r="J56" s="5" t="s">
        <v>730</v>
      </c>
      <c r="K56" s="10">
        <v>5</v>
      </c>
      <c r="L56" s="10">
        <f>K56*2</f>
        <v>10</v>
      </c>
      <c r="M56" s="11" t="s">
        <v>717</v>
      </c>
      <c r="N56" s="5" t="s">
        <v>727</v>
      </c>
      <c r="O56" s="6">
        <v>45992</v>
      </c>
      <c r="P56" s="6">
        <v>45992</v>
      </c>
      <c r="Q56" s="8"/>
      <c r="R56" s="24">
        <v>45993</v>
      </c>
    </row>
    <row r="57" spans="1:18" x14ac:dyDescent="0.25">
      <c r="A57" s="19" t="s">
        <v>481</v>
      </c>
      <c r="B57" s="5" t="s">
        <v>482</v>
      </c>
      <c r="C57" s="6" t="s">
        <v>672</v>
      </c>
      <c r="D57" s="5" t="s">
        <v>666</v>
      </c>
      <c r="E57" s="13" t="s">
        <v>580</v>
      </c>
      <c r="F57" s="8" t="s">
        <v>594</v>
      </c>
      <c r="G57" s="5" t="s">
        <v>665</v>
      </c>
      <c r="H57" s="5" t="s">
        <v>665</v>
      </c>
      <c r="I57" s="9" t="s">
        <v>725</v>
      </c>
      <c r="J57" s="5" t="s">
        <v>803</v>
      </c>
      <c r="K57" s="20">
        <v>5.8</v>
      </c>
      <c r="L57" s="10">
        <f>K57*2</f>
        <v>11.6</v>
      </c>
      <c r="M57" s="11"/>
      <c r="N57" s="5" t="s">
        <v>727</v>
      </c>
      <c r="O57" s="12">
        <v>45870</v>
      </c>
      <c r="P57" s="12">
        <v>45870</v>
      </c>
      <c r="Q57" s="8"/>
      <c r="R57" s="8"/>
    </row>
    <row r="58" spans="1:18" x14ac:dyDescent="0.25">
      <c r="A58" s="21" t="s">
        <v>186</v>
      </c>
      <c r="B58" s="5" t="s">
        <v>218</v>
      </c>
      <c r="C58" s="6">
        <v>45341</v>
      </c>
      <c r="D58" s="6" t="s">
        <v>637</v>
      </c>
      <c r="E58" s="6" t="s">
        <v>615</v>
      </c>
      <c r="F58" s="5" t="s">
        <v>616</v>
      </c>
      <c r="G58" s="5" t="s">
        <v>638</v>
      </c>
      <c r="H58" s="5" t="s">
        <v>638</v>
      </c>
      <c r="I58" s="9" t="s">
        <v>725</v>
      </c>
      <c r="J58" s="5" t="s">
        <v>730</v>
      </c>
      <c r="K58" s="20">
        <v>5</v>
      </c>
      <c r="L58" s="10">
        <f>K58*2</f>
        <v>10</v>
      </c>
      <c r="M58" s="11"/>
      <c r="N58" s="5" t="s">
        <v>727</v>
      </c>
      <c r="O58" s="12">
        <v>45870</v>
      </c>
      <c r="P58" s="12">
        <v>45870</v>
      </c>
      <c r="Q58" s="8"/>
      <c r="R58" s="8"/>
    </row>
    <row r="59" spans="1:18" x14ac:dyDescent="0.25">
      <c r="A59" s="5" t="s">
        <v>397</v>
      </c>
      <c r="B59" s="5" t="s">
        <v>398</v>
      </c>
      <c r="C59" s="6">
        <v>45876</v>
      </c>
      <c r="D59" s="5" t="s">
        <v>589</v>
      </c>
      <c r="E59" s="7" t="s">
        <v>580</v>
      </c>
      <c r="F59" s="5" t="s">
        <v>603</v>
      </c>
      <c r="G59" s="5" t="s">
        <v>847</v>
      </c>
      <c r="H59" s="5" t="s">
        <v>847</v>
      </c>
      <c r="I59" s="9" t="s">
        <v>725</v>
      </c>
      <c r="J59" s="5" t="s">
        <v>730</v>
      </c>
      <c r="K59" s="10">
        <v>5</v>
      </c>
      <c r="L59" s="10">
        <f>K59*2</f>
        <v>10</v>
      </c>
      <c r="M59" s="11"/>
      <c r="N59" s="5" t="s">
        <v>727</v>
      </c>
      <c r="O59" s="6">
        <v>45870</v>
      </c>
      <c r="P59" s="12">
        <v>45870</v>
      </c>
      <c r="Q59" s="8"/>
      <c r="R59" s="8"/>
    </row>
    <row r="60" spans="1:18" x14ac:dyDescent="0.25">
      <c r="A60" s="5" t="s">
        <v>441</v>
      </c>
      <c r="B60" s="5" t="s">
        <v>442</v>
      </c>
      <c r="C60" s="6">
        <v>45944</v>
      </c>
      <c r="D60" s="5" t="s">
        <v>637</v>
      </c>
      <c r="E60" s="5" t="s">
        <v>641</v>
      </c>
      <c r="F60" s="5" t="s">
        <v>642</v>
      </c>
      <c r="G60" s="5" t="s">
        <v>638</v>
      </c>
      <c r="H60" s="5" t="s">
        <v>638</v>
      </c>
      <c r="I60" s="9" t="s">
        <v>725</v>
      </c>
      <c r="J60" s="5" t="s">
        <v>730</v>
      </c>
      <c r="K60" s="20">
        <v>5</v>
      </c>
      <c r="L60" s="10">
        <f>K60*2</f>
        <v>10</v>
      </c>
      <c r="M60" s="11"/>
      <c r="N60" s="5" t="s">
        <v>727</v>
      </c>
      <c r="O60" s="30" t="s">
        <v>831</v>
      </c>
      <c r="P60" s="30" t="s">
        <v>831</v>
      </c>
      <c r="Q60" s="8"/>
      <c r="R60" s="8"/>
    </row>
    <row r="61" spans="1:18" x14ac:dyDescent="0.25">
      <c r="A61" s="21" t="s">
        <v>342</v>
      </c>
      <c r="B61" s="5" t="s">
        <v>343</v>
      </c>
      <c r="C61" s="6">
        <v>45825</v>
      </c>
      <c r="D61" s="5" t="s">
        <v>602</v>
      </c>
      <c r="E61" s="13" t="s">
        <v>580</v>
      </c>
      <c r="F61" s="5" t="s">
        <v>603</v>
      </c>
      <c r="G61" s="5" t="s">
        <v>856</v>
      </c>
      <c r="H61" s="5" t="s">
        <v>856</v>
      </c>
      <c r="I61" s="9" t="s">
        <v>725</v>
      </c>
      <c r="J61" s="5" t="s">
        <v>734</v>
      </c>
      <c r="K61" s="20">
        <f>3.9+5</f>
        <v>8.9</v>
      </c>
      <c r="L61" s="10">
        <f>K61*2</f>
        <v>17.8</v>
      </c>
      <c r="M61" s="11"/>
      <c r="N61" s="5" t="s">
        <v>727</v>
      </c>
      <c r="O61" s="14">
        <v>45870</v>
      </c>
      <c r="P61" s="12">
        <v>45870</v>
      </c>
      <c r="Q61" s="8"/>
      <c r="R61" s="47">
        <v>45856</v>
      </c>
    </row>
    <row r="62" spans="1:18" x14ac:dyDescent="0.25">
      <c r="A62" s="5" t="s">
        <v>108</v>
      </c>
      <c r="B62" s="5" t="s">
        <v>109</v>
      </c>
      <c r="C62" s="6">
        <v>44371</v>
      </c>
      <c r="D62" s="5" t="s">
        <v>589</v>
      </c>
      <c r="E62" s="7" t="s">
        <v>580</v>
      </c>
      <c r="F62" s="8" t="s">
        <v>594</v>
      </c>
      <c r="G62" s="5" t="s">
        <v>847</v>
      </c>
      <c r="H62" s="5" t="s">
        <v>847</v>
      </c>
      <c r="I62" s="9" t="s">
        <v>725</v>
      </c>
      <c r="J62" s="5" t="s">
        <v>757</v>
      </c>
      <c r="K62" s="10">
        <f>5.8+5.2</f>
        <v>11</v>
      </c>
      <c r="L62" s="10">
        <f>K62*2</f>
        <v>22</v>
      </c>
      <c r="M62" s="11"/>
      <c r="N62" s="5" t="s">
        <v>727</v>
      </c>
      <c r="O62" s="5"/>
      <c r="P62" s="5"/>
      <c r="Q62" s="8"/>
      <c r="R62" s="8"/>
    </row>
    <row r="63" spans="1:18" x14ac:dyDescent="0.25">
      <c r="A63" s="21" t="s">
        <v>186</v>
      </c>
      <c r="B63" s="9" t="s">
        <v>187</v>
      </c>
      <c r="C63" s="14">
        <v>45272</v>
      </c>
      <c r="D63" s="14" t="s">
        <v>584</v>
      </c>
      <c r="E63" s="6" t="s">
        <v>634</v>
      </c>
      <c r="F63" s="8" t="s">
        <v>635</v>
      </c>
      <c r="G63" s="9" t="s">
        <v>599</v>
      </c>
      <c r="H63" s="8" t="s">
        <v>599</v>
      </c>
      <c r="I63" s="9" t="s">
        <v>725</v>
      </c>
      <c r="J63" s="5" t="s">
        <v>730</v>
      </c>
      <c r="K63" s="20">
        <v>5</v>
      </c>
      <c r="L63" s="10">
        <f>K63*2</f>
        <v>10</v>
      </c>
      <c r="M63" s="11" t="s">
        <v>727</v>
      </c>
      <c r="N63" s="5" t="s">
        <v>717</v>
      </c>
      <c r="O63" s="12">
        <v>45870</v>
      </c>
      <c r="P63" s="12">
        <v>45870</v>
      </c>
      <c r="Q63" s="8"/>
      <c r="R63" s="8"/>
    </row>
    <row r="64" spans="1:18" x14ac:dyDescent="0.25">
      <c r="A64" s="17" t="s">
        <v>124</v>
      </c>
      <c r="B64" s="9" t="s">
        <v>125</v>
      </c>
      <c r="C64" s="14">
        <v>44599</v>
      </c>
      <c r="D64" s="14" t="s">
        <v>591</v>
      </c>
      <c r="E64" s="13" t="s">
        <v>580</v>
      </c>
      <c r="F64" s="5" t="s">
        <v>604</v>
      </c>
      <c r="G64" s="9" t="s">
        <v>588</v>
      </c>
      <c r="H64" s="9" t="s">
        <v>588</v>
      </c>
      <c r="I64" s="9" t="s">
        <v>725</v>
      </c>
      <c r="J64" s="5" t="s">
        <v>730</v>
      </c>
      <c r="K64" s="20">
        <v>5</v>
      </c>
      <c r="L64" s="10">
        <f>K64*2</f>
        <v>10</v>
      </c>
      <c r="M64" s="11"/>
      <c r="N64" s="5" t="s">
        <v>727</v>
      </c>
      <c r="O64" s="12">
        <v>45870</v>
      </c>
      <c r="P64" s="12">
        <v>45870</v>
      </c>
      <c r="Q64" s="8"/>
      <c r="R64" s="8"/>
    </row>
    <row r="65" spans="1:18" x14ac:dyDescent="0.25">
      <c r="A65" s="5" t="s">
        <v>184</v>
      </c>
      <c r="B65" s="5" t="s">
        <v>185</v>
      </c>
      <c r="C65" s="6">
        <v>45265</v>
      </c>
      <c r="D65" s="5" t="s">
        <v>596</v>
      </c>
      <c r="E65" s="7" t="s">
        <v>592</v>
      </c>
      <c r="F65" s="5" t="s">
        <v>593</v>
      </c>
      <c r="G65" s="5" t="s">
        <v>597</v>
      </c>
      <c r="H65" s="5" t="s">
        <v>597</v>
      </c>
      <c r="I65" s="9" t="s">
        <v>725</v>
      </c>
      <c r="J65" s="5" t="s">
        <v>769</v>
      </c>
      <c r="K65" s="10">
        <v>11</v>
      </c>
      <c r="L65" s="10">
        <f>K65*2</f>
        <v>22</v>
      </c>
      <c r="M65" s="11"/>
      <c r="N65" s="5" t="s">
        <v>727</v>
      </c>
      <c r="O65" s="6">
        <v>45870</v>
      </c>
      <c r="P65" s="12">
        <v>45870</v>
      </c>
      <c r="Q65" s="8"/>
      <c r="R65" s="8"/>
    </row>
    <row r="66" spans="1:18" x14ac:dyDescent="0.25">
      <c r="A66" s="21" t="s">
        <v>20</v>
      </c>
      <c r="B66" s="5" t="s">
        <v>204</v>
      </c>
      <c r="C66" s="6">
        <v>45341</v>
      </c>
      <c r="D66" s="6" t="s">
        <v>639</v>
      </c>
      <c r="E66" s="13" t="s">
        <v>580</v>
      </c>
      <c r="F66" s="5" t="s">
        <v>604</v>
      </c>
      <c r="G66" s="5" t="s">
        <v>626</v>
      </c>
      <c r="H66" s="5" t="s">
        <v>626</v>
      </c>
      <c r="I66" s="9" t="s">
        <v>725</v>
      </c>
      <c r="J66" s="5" t="s">
        <v>730</v>
      </c>
      <c r="K66" s="20">
        <v>5</v>
      </c>
      <c r="L66" s="10">
        <f>K66*2</f>
        <v>10</v>
      </c>
      <c r="M66" s="11"/>
      <c r="N66" s="5" t="s">
        <v>727</v>
      </c>
      <c r="O66" s="12">
        <v>45870</v>
      </c>
      <c r="P66" s="12">
        <v>45870</v>
      </c>
      <c r="Q66" s="8"/>
      <c r="R66" s="8"/>
    </row>
    <row r="67" spans="1:18" x14ac:dyDescent="0.25">
      <c r="A67" s="13" t="s">
        <v>555</v>
      </c>
      <c r="B67" s="5" t="s">
        <v>556</v>
      </c>
      <c r="C67" s="6" t="s">
        <v>711</v>
      </c>
      <c r="D67" s="5" t="s">
        <v>607</v>
      </c>
      <c r="E67" s="13" t="s">
        <v>580</v>
      </c>
      <c r="F67" s="8" t="s">
        <v>633</v>
      </c>
      <c r="G67" s="9" t="s">
        <v>590</v>
      </c>
      <c r="H67" s="9" t="s">
        <v>590</v>
      </c>
      <c r="I67" s="9" t="s">
        <v>725</v>
      </c>
      <c r="J67" s="5" t="s">
        <v>730</v>
      </c>
      <c r="K67" s="20">
        <v>5</v>
      </c>
      <c r="L67" s="10">
        <f>K67*2</f>
        <v>10</v>
      </c>
      <c r="M67" s="11"/>
      <c r="N67" s="5" t="s">
        <v>727</v>
      </c>
      <c r="O67" s="12">
        <v>45870</v>
      </c>
      <c r="P67" s="12">
        <v>45870</v>
      </c>
      <c r="Q67" s="8"/>
      <c r="R67" s="8"/>
    </row>
    <row r="68" spans="1:18" x14ac:dyDescent="0.25">
      <c r="A68" s="21" t="s">
        <v>367</v>
      </c>
      <c r="B68" s="9" t="s">
        <v>382</v>
      </c>
      <c r="C68" s="14">
        <v>45870</v>
      </c>
      <c r="D68" s="5" t="s">
        <v>661</v>
      </c>
      <c r="E68" s="14" t="s">
        <v>592</v>
      </c>
      <c r="F68" s="5" t="s">
        <v>593</v>
      </c>
      <c r="G68" s="5" t="s">
        <v>625</v>
      </c>
      <c r="H68" s="9" t="s">
        <v>861</v>
      </c>
      <c r="I68" s="9" t="s">
        <v>725</v>
      </c>
      <c r="J68" s="5" t="s">
        <v>730</v>
      </c>
      <c r="K68" s="20">
        <v>5</v>
      </c>
      <c r="L68" s="10">
        <f>K68*2</f>
        <v>10</v>
      </c>
      <c r="M68" s="11"/>
      <c r="N68" s="5" t="s">
        <v>727</v>
      </c>
      <c r="O68" s="21"/>
      <c r="P68" s="21"/>
      <c r="Q68" s="8"/>
      <c r="R68" s="8"/>
    </row>
    <row r="69" spans="1:18" x14ac:dyDescent="0.25">
      <c r="A69" s="5" t="s">
        <v>437</v>
      </c>
      <c r="B69" s="5" t="s">
        <v>443</v>
      </c>
      <c r="C69" s="6">
        <v>45947</v>
      </c>
      <c r="D69" s="5" t="s">
        <v>637</v>
      </c>
      <c r="E69" s="5" t="s">
        <v>592</v>
      </c>
      <c r="F69" s="5" t="s">
        <v>593</v>
      </c>
      <c r="G69" s="5" t="s">
        <v>638</v>
      </c>
      <c r="H69" s="5" t="s">
        <v>638</v>
      </c>
      <c r="I69" s="9" t="s">
        <v>725</v>
      </c>
      <c r="J69" s="5" t="s">
        <v>730</v>
      </c>
      <c r="K69" s="10">
        <v>5</v>
      </c>
      <c r="L69" s="10">
        <f>K69*2</f>
        <v>10</v>
      </c>
      <c r="M69" s="10"/>
      <c r="N69" s="5" t="s">
        <v>727</v>
      </c>
      <c r="O69" s="30" t="s">
        <v>831</v>
      </c>
      <c r="P69" s="30" t="s">
        <v>831</v>
      </c>
      <c r="Q69" s="8"/>
      <c r="R69" s="8"/>
    </row>
    <row r="70" spans="1:18" x14ac:dyDescent="0.25">
      <c r="A70" s="5" t="s">
        <v>136</v>
      </c>
      <c r="B70" s="5" t="s">
        <v>137</v>
      </c>
      <c r="C70" s="6">
        <v>44761</v>
      </c>
      <c r="D70" s="5" t="s">
        <v>596</v>
      </c>
      <c r="E70" s="7" t="s">
        <v>592</v>
      </c>
      <c r="F70" s="5" t="s">
        <v>593</v>
      </c>
      <c r="G70" s="5" t="s">
        <v>625</v>
      </c>
      <c r="H70" s="5" t="s">
        <v>597</v>
      </c>
      <c r="I70" s="9" t="s">
        <v>725</v>
      </c>
      <c r="J70" s="5" t="s">
        <v>760</v>
      </c>
      <c r="K70" s="10">
        <f>5+5.65</f>
        <v>10.65</v>
      </c>
      <c r="L70" s="10">
        <f>K70*2</f>
        <v>21.3</v>
      </c>
      <c r="M70" s="11"/>
      <c r="N70" s="5" t="s">
        <v>727</v>
      </c>
      <c r="O70" s="6">
        <v>45870</v>
      </c>
      <c r="P70" s="12">
        <v>45870</v>
      </c>
      <c r="Q70" s="8"/>
      <c r="R70" s="8"/>
    </row>
    <row r="71" spans="1:18" x14ac:dyDescent="0.25">
      <c r="A71" s="5" t="s">
        <v>417</v>
      </c>
      <c r="B71" s="5" t="s">
        <v>418</v>
      </c>
      <c r="C71" s="6">
        <v>45923</v>
      </c>
      <c r="D71" s="5" t="s">
        <v>589</v>
      </c>
      <c r="E71" s="7" t="s">
        <v>592</v>
      </c>
      <c r="F71" s="5" t="s">
        <v>593</v>
      </c>
      <c r="G71" s="5" t="s">
        <v>847</v>
      </c>
      <c r="H71" s="5" t="s">
        <v>847</v>
      </c>
      <c r="I71" s="9" t="s">
        <v>725</v>
      </c>
      <c r="J71" s="5" t="s">
        <v>790</v>
      </c>
      <c r="K71" s="10">
        <v>5.2</v>
      </c>
      <c r="L71" s="10">
        <f>K71*2</f>
        <v>10.4</v>
      </c>
      <c r="M71" s="5"/>
      <c r="N71" s="5" t="s">
        <v>727</v>
      </c>
      <c r="O71" s="5"/>
      <c r="P71" s="5"/>
      <c r="Q71" s="8"/>
      <c r="R71" s="8"/>
    </row>
    <row r="72" spans="1:18" x14ac:dyDescent="0.25">
      <c r="A72" s="5" t="s">
        <v>294</v>
      </c>
      <c r="B72" s="5" t="s">
        <v>295</v>
      </c>
      <c r="C72" s="6">
        <v>45671</v>
      </c>
      <c r="D72" s="5" t="s">
        <v>589</v>
      </c>
      <c r="E72" s="7" t="s">
        <v>580</v>
      </c>
      <c r="F72" s="8" t="s">
        <v>594</v>
      </c>
      <c r="G72" s="5" t="s">
        <v>847</v>
      </c>
      <c r="H72" s="5" t="s">
        <v>847</v>
      </c>
      <c r="I72" s="9" t="s">
        <v>725</v>
      </c>
      <c r="J72" s="5" t="s">
        <v>730</v>
      </c>
      <c r="K72" s="10">
        <v>5</v>
      </c>
      <c r="L72" s="10">
        <f>K72*2</f>
        <v>10</v>
      </c>
      <c r="M72" s="11"/>
      <c r="N72" s="5" t="s">
        <v>727</v>
      </c>
      <c r="O72" s="6">
        <v>45870</v>
      </c>
      <c r="P72" s="12">
        <v>45870</v>
      </c>
      <c r="Q72" s="8"/>
      <c r="R72" s="8"/>
    </row>
    <row r="73" spans="1:18" x14ac:dyDescent="0.25">
      <c r="A73" s="21" t="s">
        <v>461</v>
      </c>
      <c r="B73" s="5" t="s">
        <v>462</v>
      </c>
      <c r="C73" s="6">
        <v>45973</v>
      </c>
      <c r="D73" s="5" t="s">
        <v>589</v>
      </c>
      <c r="E73" s="13" t="s">
        <v>580</v>
      </c>
      <c r="F73" s="8" t="s">
        <v>668</v>
      </c>
      <c r="G73" s="5" t="s">
        <v>847</v>
      </c>
      <c r="H73" s="5" t="s">
        <v>847</v>
      </c>
      <c r="I73" s="9" t="s">
        <v>725</v>
      </c>
      <c r="J73" s="5" t="s">
        <v>798</v>
      </c>
      <c r="K73" s="20">
        <f>5.2+5.8</f>
        <v>11</v>
      </c>
      <c r="L73" s="10">
        <f>K73*2</f>
        <v>22</v>
      </c>
      <c r="M73" s="11"/>
      <c r="N73" s="5" t="s">
        <v>727</v>
      </c>
      <c r="O73" s="5"/>
      <c r="P73" s="5"/>
      <c r="Q73" s="8"/>
      <c r="R73" s="8"/>
    </row>
    <row r="74" spans="1:18" x14ac:dyDescent="0.25">
      <c r="A74" s="21" t="s">
        <v>20</v>
      </c>
      <c r="B74" s="5" t="s">
        <v>229</v>
      </c>
      <c r="C74" s="6">
        <v>45361</v>
      </c>
      <c r="D74" s="6" t="s">
        <v>644</v>
      </c>
      <c r="E74" s="14" t="s">
        <v>592</v>
      </c>
      <c r="F74" s="5" t="s">
        <v>593</v>
      </c>
      <c r="G74" s="5" t="s">
        <v>645</v>
      </c>
      <c r="H74" s="5" t="s">
        <v>645</v>
      </c>
      <c r="I74" s="9" t="s">
        <v>725</v>
      </c>
      <c r="J74" s="5" t="s">
        <v>730</v>
      </c>
      <c r="K74" s="20">
        <v>5</v>
      </c>
      <c r="L74" s="10">
        <f>K74*2</f>
        <v>10</v>
      </c>
      <c r="M74" s="11"/>
      <c r="N74" s="5" t="s">
        <v>727</v>
      </c>
      <c r="O74" s="12">
        <v>45870</v>
      </c>
      <c r="P74" s="12">
        <v>45870</v>
      </c>
      <c r="Q74" s="8"/>
      <c r="R74" s="8"/>
    </row>
    <row r="75" spans="1:18" x14ac:dyDescent="0.25">
      <c r="A75" s="21" t="s">
        <v>268</v>
      </c>
      <c r="B75" s="9" t="s">
        <v>269</v>
      </c>
      <c r="C75" s="14">
        <v>45552</v>
      </c>
      <c r="D75" s="14" t="s">
        <v>617</v>
      </c>
      <c r="E75" s="9" t="s">
        <v>580</v>
      </c>
      <c r="F75" s="9" t="s">
        <v>603</v>
      </c>
      <c r="G75" s="9" t="s">
        <v>618</v>
      </c>
      <c r="H75" s="9" t="s">
        <v>618</v>
      </c>
      <c r="I75" s="9" t="s">
        <v>725</v>
      </c>
      <c r="J75" s="9" t="s">
        <v>775</v>
      </c>
      <c r="K75" s="11">
        <f>5.95+5.95</f>
        <v>11.9</v>
      </c>
      <c r="L75" s="10">
        <f>K75*2</f>
        <v>23.8</v>
      </c>
      <c r="M75" s="11"/>
      <c r="N75" s="5" t="s">
        <v>727</v>
      </c>
      <c r="O75" s="14">
        <v>45870</v>
      </c>
      <c r="P75" s="12">
        <v>45870</v>
      </c>
      <c r="Q75" s="8"/>
      <c r="R75" s="8"/>
    </row>
    <row r="76" spans="1:18" x14ac:dyDescent="0.25">
      <c r="A76" s="21" t="s">
        <v>215</v>
      </c>
      <c r="B76" s="9" t="s">
        <v>254</v>
      </c>
      <c r="C76" s="6">
        <v>45428</v>
      </c>
      <c r="D76" s="6" t="s">
        <v>639</v>
      </c>
      <c r="E76" s="6" t="s">
        <v>615</v>
      </c>
      <c r="F76" s="5" t="s">
        <v>616</v>
      </c>
      <c r="G76" s="5" t="s">
        <v>626</v>
      </c>
      <c r="H76" s="5" t="s">
        <v>626</v>
      </c>
      <c r="I76" s="9" t="s">
        <v>725</v>
      </c>
      <c r="J76" s="5" t="s">
        <v>730</v>
      </c>
      <c r="K76" s="20">
        <v>5</v>
      </c>
      <c r="L76" s="10">
        <f>K76*2</f>
        <v>10</v>
      </c>
      <c r="M76" s="11"/>
      <c r="N76" s="5" t="s">
        <v>727</v>
      </c>
      <c r="O76" s="12">
        <v>45870</v>
      </c>
      <c r="P76" s="12">
        <v>45870</v>
      </c>
      <c r="Q76" s="8"/>
      <c r="R76" s="8"/>
    </row>
    <row r="77" spans="1:18" x14ac:dyDescent="0.25">
      <c r="A77" s="17" t="s">
        <v>263</v>
      </c>
      <c r="B77" s="9" t="s">
        <v>288</v>
      </c>
      <c r="C77" s="6">
        <v>45636</v>
      </c>
      <c r="D77" s="6" t="s">
        <v>637</v>
      </c>
      <c r="E77" s="14" t="s">
        <v>592</v>
      </c>
      <c r="F77" s="5" t="s">
        <v>593</v>
      </c>
      <c r="G77" s="5" t="s">
        <v>652</v>
      </c>
      <c r="H77" s="8" t="s">
        <v>599</v>
      </c>
      <c r="I77" s="9" t="s">
        <v>725</v>
      </c>
      <c r="J77" s="5" t="s">
        <v>730</v>
      </c>
      <c r="K77" s="20">
        <v>5</v>
      </c>
      <c r="L77" s="10">
        <f>K77*2</f>
        <v>10</v>
      </c>
      <c r="M77" s="11"/>
      <c r="N77" s="5" t="s">
        <v>727</v>
      </c>
      <c r="O77" s="12">
        <v>45870</v>
      </c>
      <c r="P77" s="12">
        <v>45870</v>
      </c>
      <c r="Q77" s="8"/>
      <c r="R77" s="8"/>
    </row>
    <row r="78" spans="1:18" x14ac:dyDescent="0.25">
      <c r="A78" s="21" t="s">
        <v>24</v>
      </c>
      <c r="B78" s="5" t="s">
        <v>25</v>
      </c>
      <c r="C78" s="6">
        <v>40256</v>
      </c>
      <c r="D78" s="5" t="s">
        <v>602</v>
      </c>
      <c r="E78" s="13" t="s">
        <v>580</v>
      </c>
      <c r="F78" s="5" t="s">
        <v>603</v>
      </c>
      <c r="G78" s="5" t="s">
        <v>856</v>
      </c>
      <c r="H78" s="5" t="s">
        <v>856</v>
      </c>
      <c r="I78" s="9" t="s">
        <v>725</v>
      </c>
      <c r="J78" s="5" t="s">
        <v>734</v>
      </c>
      <c r="K78" s="20">
        <f>3.9+5</f>
        <v>8.9</v>
      </c>
      <c r="L78" s="10">
        <f>K78*2</f>
        <v>17.8</v>
      </c>
      <c r="M78" s="11"/>
      <c r="N78" s="5" t="s">
        <v>727</v>
      </c>
      <c r="O78" s="14">
        <v>45870</v>
      </c>
      <c r="P78" s="12">
        <v>45870</v>
      </c>
      <c r="Q78" s="8"/>
      <c r="R78" s="8"/>
    </row>
    <row r="79" spans="1:18" x14ac:dyDescent="0.25">
      <c r="A79" s="21" t="s">
        <v>367</v>
      </c>
      <c r="B79" s="9" t="s">
        <v>380</v>
      </c>
      <c r="C79" s="14">
        <v>45870</v>
      </c>
      <c r="D79" s="5" t="s">
        <v>661</v>
      </c>
      <c r="E79" s="5" t="s">
        <v>580</v>
      </c>
      <c r="F79" s="9" t="s">
        <v>663</v>
      </c>
      <c r="G79" s="5" t="s">
        <v>625</v>
      </c>
      <c r="H79" s="9" t="s">
        <v>861</v>
      </c>
      <c r="I79" s="9" t="s">
        <v>725</v>
      </c>
      <c r="J79" s="5" t="s">
        <v>730</v>
      </c>
      <c r="K79" s="20">
        <v>5</v>
      </c>
      <c r="L79" s="10">
        <f>K79*2</f>
        <v>10</v>
      </c>
      <c r="M79" s="11"/>
      <c r="N79" s="5" t="s">
        <v>727</v>
      </c>
      <c r="O79" s="21"/>
      <c r="P79" s="21"/>
      <c r="Q79" s="8"/>
      <c r="R79" s="8"/>
    </row>
    <row r="80" spans="1:18" x14ac:dyDescent="0.25">
      <c r="A80" s="31" t="s">
        <v>523</v>
      </c>
      <c r="B80" s="32" t="s">
        <v>524</v>
      </c>
      <c r="C80" s="33" t="s">
        <v>693</v>
      </c>
      <c r="D80" s="32" t="s">
        <v>666</v>
      </c>
      <c r="E80" s="32" t="s">
        <v>580</v>
      </c>
      <c r="F80" s="32" t="s">
        <v>633</v>
      </c>
      <c r="G80" s="32" t="s">
        <v>665</v>
      </c>
      <c r="H80" s="32" t="s">
        <v>665</v>
      </c>
      <c r="I80" s="32" t="s">
        <v>740</v>
      </c>
      <c r="J80" s="32" t="s">
        <v>740</v>
      </c>
      <c r="K80" s="34">
        <v>0</v>
      </c>
      <c r="L80" s="10">
        <f>K80*2</f>
        <v>0</v>
      </c>
      <c r="M80" s="34"/>
      <c r="N80" s="5" t="s">
        <v>727</v>
      </c>
      <c r="O80" s="35">
        <v>45870</v>
      </c>
      <c r="P80" s="12">
        <v>45870</v>
      </c>
      <c r="Q80" s="8"/>
      <c r="R80" s="8"/>
    </row>
    <row r="81" spans="1:18" x14ac:dyDescent="0.25">
      <c r="A81" s="17" t="s">
        <v>20</v>
      </c>
      <c r="B81" s="36" t="s">
        <v>21</v>
      </c>
      <c r="C81" s="14">
        <v>39945</v>
      </c>
      <c r="D81" s="14" t="s">
        <v>591</v>
      </c>
      <c r="E81" s="14" t="s">
        <v>592</v>
      </c>
      <c r="F81" s="5" t="s">
        <v>593</v>
      </c>
      <c r="G81" s="37" t="s">
        <v>598</v>
      </c>
      <c r="H81" s="8" t="s">
        <v>599</v>
      </c>
      <c r="I81" s="9" t="s">
        <v>725</v>
      </c>
      <c r="J81" s="5" t="s">
        <v>730</v>
      </c>
      <c r="K81" s="20">
        <v>5</v>
      </c>
      <c r="L81" s="10">
        <f>K81*2</f>
        <v>10</v>
      </c>
      <c r="M81" s="11" t="s">
        <v>717</v>
      </c>
      <c r="N81" s="5" t="s">
        <v>727</v>
      </c>
      <c r="O81" s="12">
        <v>45870</v>
      </c>
      <c r="P81" s="12">
        <v>45870</v>
      </c>
      <c r="Q81" s="8"/>
      <c r="R81" s="8"/>
    </row>
    <row r="82" spans="1:18" x14ac:dyDescent="0.25">
      <c r="A82" s="5" t="s">
        <v>18</v>
      </c>
      <c r="B82" s="5" t="s">
        <v>19</v>
      </c>
      <c r="C82" s="6">
        <v>39862</v>
      </c>
      <c r="D82" s="5" t="s">
        <v>596</v>
      </c>
      <c r="E82" s="7" t="s">
        <v>592</v>
      </c>
      <c r="F82" s="5" t="s">
        <v>593</v>
      </c>
      <c r="G82" s="5" t="s">
        <v>597</v>
      </c>
      <c r="H82" s="5" t="s">
        <v>597</v>
      </c>
      <c r="I82" s="9" t="s">
        <v>725</v>
      </c>
      <c r="J82" s="5" t="s">
        <v>732</v>
      </c>
      <c r="K82" s="10">
        <f>3.9+6.05</f>
        <v>9.9499999999999993</v>
      </c>
      <c r="L82" s="10">
        <f>K82*2</f>
        <v>19.899999999999999</v>
      </c>
      <c r="M82" s="11"/>
      <c r="N82" s="5" t="s">
        <v>727</v>
      </c>
      <c r="O82" s="6">
        <v>45870</v>
      </c>
      <c r="P82" s="12">
        <v>45870</v>
      </c>
      <c r="Q82" s="8"/>
      <c r="R82" s="8"/>
    </row>
    <row r="83" spans="1:18" x14ac:dyDescent="0.25">
      <c r="A83" s="5" t="s">
        <v>140</v>
      </c>
      <c r="B83" s="5" t="s">
        <v>141</v>
      </c>
      <c r="C83" s="6">
        <v>44803</v>
      </c>
      <c r="D83" s="5" t="s">
        <v>589</v>
      </c>
      <c r="E83" s="7" t="s">
        <v>580</v>
      </c>
      <c r="F83" s="8" t="s">
        <v>581</v>
      </c>
      <c r="G83" s="5" t="s">
        <v>625</v>
      </c>
      <c r="H83" s="5" t="s">
        <v>847</v>
      </c>
      <c r="I83" s="9" t="s">
        <v>725</v>
      </c>
      <c r="J83" s="5" t="s">
        <v>752</v>
      </c>
      <c r="K83" s="10">
        <f>5+3.9</f>
        <v>8.9</v>
      </c>
      <c r="L83" s="10">
        <f>K83*2</f>
        <v>17.8</v>
      </c>
      <c r="M83" s="11"/>
      <c r="N83" s="5" t="s">
        <v>727</v>
      </c>
      <c r="O83" s="5"/>
      <c r="P83" s="5"/>
      <c r="Q83" s="8"/>
      <c r="R83" s="8"/>
    </row>
    <row r="84" spans="1:18" x14ac:dyDescent="0.25">
      <c r="A84" s="5" t="s">
        <v>278</v>
      </c>
      <c r="B84" s="5" t="s">
        <v>279</v>
      </c>
      <c r="C84" s="6">
        <v>45602</v>
      </c>
      <c r="D84" s="5" t="s">
        <v>589</v>
      </c>
      <c r="E84" s="7" t="s">
        <v>580</v>
      </c>
      <c r="F84" s="8" t="s">
        <v>594</v>
      </c>
      <c r="G84" s="5" t="s">
        <v>847</v>
      </c>
      <c r="H84" s="5" t="s">
        <v>847</v>
      </c>
      <c r="I84" s="9" t="s">
        <v>725</v>
      </c>
      <c r="J84" s="5" t="s">
        <v>776</v>
      </c>
      <c r="K84" s="10">
        <v>5</v>
      </c>
      <c r="L84" s="10">
        <f>K84*2</f>
        <v>10</v>
      </c>
      <c r="M84" s="11"/>
      <c r="N84" s="5" t="s">
        <v>727</v>
      </c>
      <c r="O84" s="6">
        <v>45870</v>
      </c>
      <c r="P84" s="12">
        <v>45870</v>
      </c>
      <c r="Q84" s="8"/>
      <c r="R84" s="8"/>
    </row>
    <row r="85" spans="1:18" x14ac:dyDescent="0.25">
      <c r="A85" s="17" t="s">
        <v>246</v>
      </c>
      <c r="B85" s="5" t="s">
        <v>299</v>
      </c>
      <c r="C85" s="14">
        <v>45684</v>
      </c>
      <c r="D85" s="8" t="s">
        <v>584</v>
      </c>
      <c r="E85" s="6" t="s">
        <v>634</v>
      </c>
      <c r="F85" s="5" t="s">
        <v>635</v>
      </c>
      <c r="G85" s="9" t="s">
        <v>599</v>
      </c>
      <c r="H85" s="8" t="s">
        <v>599</v>
      </c>
      <c r="I85" s="9" t="s">
        <v>728</v>
      </c>
      <c r="J85" s="15" t="s">
        <v>728</v>
      </c>
      <c r="K85" s="11">
        <v>0</v>
      </c>
      <c r="L85" s="10">
        <f>K85*2</f>
        <v>0</v>
      </c>
      <c r="M85" s="11" t="s">
        <v>727</v>
      </c>
      <c r="N85" s="5" t="s">
        <v>717</v>
      </c>
      <c r="O85" s="12">
        <v>45870</v>
      </c>
      <c r="P85" s="12">
        <v>45870</v>
      </c>
      <c r="Q85" s="8"/>
      <c r="R85" s="8"/>
    </row>
    <row r="86" spans="1:18" x14ac:dyDescent="0.25">
      <c r="A86" s="21" t="s">
        <v>367</v>
      </c>
      <c r="B86" s="9" t="s">
        <v>368</v>
      </c>
      <c r="C86" s="14">
        <v>45870</v>
      </c>
      <c r="D86" s="5" t="s">
        <v>661</v>
      </c>
      <c r="E86" s="14" t="s">
        <v>655</v>
      </c>
      <c r="F86" s="5" t="s">
        <v>656</v>
      </c>
      <c r="G86" s="5" t="s">
        <v>625</v>
      </c>
      <c r="H86" s="9" t="s">
        <v>861</v>
      </c>
      <c r="I86" s="9" t="s">
        <v>725</v>
      </c>
      <c r="J86" s="5" t="s">
        <v>730</v>
      </c>
      <c r="K86" s="20">
        <v>5</v>
      </c>
      <c r="L86" s="10">
        <f>K86*2</f>
        <v>10</v>
      </c>
      <c r="M86" s="11"/>
      <c r="N86" s="5" t="s">
        <v>727</v>
      </c>
      <c r="O86" s="21"/>
      <c r="P86" s="21"/>
      <c r="Q86" s="8"/>
      <c r="R86" s="8"/>
    </row>
    <row r="87" spans="1:18" x14ac:dyDescent="0.25">
      <c r="A87" s="17" t="s">
        <v>301</v>
      </c>
      <c r="B87" s="5" t="s">
        <v>302</v>
      </c>
      <c r="C87" s="6">
        <v>45689</v>
      </c>
      <c r="D87" s="14" t="s">
        <v>584</v>
      </c>
      <c r="E87" s="14" t="s">
        <v>600</v>
      </c>
      <c r="F87" s="8" t="s">
        <v>601</v>
      </c>
      <c r="G87" s="9" t="s">
        <v>599</v>
      </c>
      <c r="H87" s="8" t="s">
        <v>599</v>
      </c>
      <c r="I87" s="15" t="s">
        <v>740</v>
      </c>
      <c r="J87" s="15" t="s">
        <v>740</v>
      </c>
      <c r="K87" s="34">
        <v>0</v>
      </c>
      <c r="L87" s="10">
        <f>K87*2</f>
        <v>0</v>
      </c>
      <c r="M87" s="11" t="s">
        <v>727</v>
      </c>
      <c r="N87" s="5" t="s">
        <v>717</v>
      </c>
      <c r="O87" s="12">
        <v>45870</v>
      </c>
      <c r="P87" s="12">
        <v>45870</v>
      </c>
      <c r="Q87" s="8"/>
      <c r="R87" s="8"/>
    </row>
    <row r="88" spans="1:18" x14ac:dyDescent="0.25">
      <c r="A88" s="19" t="s">
        <v>497</v>
      </c>
      <c r="B88" s="5" t="s">
        <v>498</v>
      </c>
      <c r="C88" s="6" t="s">
        <v>679</v>
      </c>
      <c r="D88" s="5" t="s">
        <v>666</v>
      </c>
      <c r="E88" s="14" t="s">
        <v>592</v>
      </c>
      <c r="F88" s="5" t="s">
        <v>593</v>
      </c>
      <c r="G88" s="5" t="s">
        <v>665</v>
      </c>
      <c r="H88" s="5" t="s">
        <v>665</v>
      </c>
      <c r="I88" s="15" t="s">
        <v>740</v>
      </c>
      <c r="J88" s="15" t="s">
        <v>740</v>
      </c>
      <c r="K88" s="34">
        <v>0</v>
      </c>
      <c r="L88" s="10">
        <f>K88*2</f>
        <v>0</v>
      </c>
      <c r="M88" s="11"/>
      <c r="N88" s="5" t="s">
        <v>727</v>
      </c>
      <c r="O88" s="12">
        <v>45870</v>
      </c>
      <c r="P88" s="12">
        <v>45870</v>
      </c>
      <c r="Q88" s="8"/>
      <c r="R88" s="8"/>
    </row>
    <row r="89" spans="1:18" x14ac:dyDescent="0.25">
      <c r="A89" s="5" t="s">
        <v>116</v>
      </c>
      <c r="B89" s="5" t="s">
        <v>117</v>
      </c>
      <c r="C89" s="6">
        <v>44482</v>
      </c>
      <c r="D89" s="5" t="s">
        <v>589</v>
      </c>
      <c r="E89" s="6" t="s">
        <v>615</v>
      </c>
      <c r="F89" s="5" t="s">
        <v>616</v>
      </c>
      <c r="G89" s="5" t="s">
        <v>847</v>
      </c>
      <c r="H89" s="5" t="s">
        <v>847</v>
      </c>
      <c r="I89" s="9" t="s">
        <v>725</v>
      </c>
      <c r="J89" s="5" t="s">
        <v>730</v>
      </c>
      <c r="K89" s="10">
        <v>5</v>
      </c>
      <c r="L89" s="10">
        <f>K89*2</f>
        <v>10</v>
      </c>
      <c r="M89" s="11"/>
      <c r="N89" s="5" t="s">
        <v>727</v>
      </c>
      <c r="O89" s="5"/>
      <c r="P89" s="5"/>
      <c r="Q89" s="8"/>
      <c r="R89" s="8"/>
    </row>
    <row r="90" spans="1:18" x14ac:dyDescent="0.25">
      <c r="A90" s="19" t="s">
        <v>493</v>
      </c>
      <c r="B90" s="5" t="s">
        <v>494</v>
      </c>
      <c r="C90" s="6" t="s">
        <v>678</v>
      </c>
      <c r="D90" s="5" t="s">
        <v>660</v>
      </c>
      <c r="E90" s="13" t="s">
        <v>580</v>
      </c>
      <c r="F90" s="8" t="s">
        <v>594</v>
      </c>
      <c r="G90" s="5" t="s">
        <v>583</v>
      </c>
      <c r="H90" s="5" t="s">
        <v>583</v>
      </c>
      <c r="I90" s="9" t="s">
        <v>725</v>
      </c>
      <c r="J90" s="13" t="s">
        <v>807</v>
      </c>
      <c r="K90" s="38">
        <f>5.2+6.75</f>
        <v>11.95</v>
      </c>
      <c r="L90" s="10">
        <f>K90*2</f>
        <v>23.9</v>
      </c>
      <c r="M90" s="11"/>
      <c r="N90" s="5" t="s">
        <v>727</v>
      </c>
      <c r="O90" s="12">
        <v>45870</v>
      </c>
      <c r="P90" s="12">
        <v>45870</v>
      </c>
      <c r="Q90" s="8"/>
      <c r="R90" s="8"/>
    </row>
    <row r="91" spans="1:18" x14ac:dyDescent="0.25">
      <c r="A91" s="13" t="s">
        <v>515</v>
      </c>
      <c r="B91" s="5" t="s">
        <v>516</v>
      </c>
      <c r="C91" s="6" t="s">
        <v>688</v>
      </c>
      <c r="D91" s="5" t="s">
        <v>607</v>
      </c>
      <c r="E91" s="9" t="s">
        <v>580</v>
      </c>
      <c r="F91" s="5" t="s">
        <v>594</v>
      </c>
      <c r="G91" s="9" t="s">
        <v>590</v>
      </c>
      <c r="H91" s="9" t="s">
        <v>590</v>
      </c>
      <c r="I91" s="9" t="s">
        <v>725</v>
      </c>
      <c r="J91" s="9" t="s">
        <v>813</v>
      </c>
      <c r="K91" s="16">
        <v>11</v>
      </c>
      <c r="L91" s="10">
        <f>K91*2</f>
        <v>22</v>
      </c>
      <c r="M91" s="11"/>
      <c r="N91" s="5" t="s">
        <v>727</v>
      </c>
      <c r="O91" s="12">
        <v>45870</v>
      </c>
      <c r="P91" s="12">
        <v>45870</v>
      </c>
      <c r="Q91" s="8"/>
      <c r="R91" s="8"/>
    </row>
    <row r="92" spans="1:18" x14ac:dyDescent="0.25">
      <c r="A92" s="17" t="s">
        <v>72</v>
      </c>
      <c r="B92" s="9" t="s">
        <v>73</v>
      </c>
      <c r="C92" s="14">
        <v>43445</v>
      </c>
      <c r="D92" s="14" t="s">
        <v>591</v>
      </c>
      <c r="E92" s="13" t="s">
        <v>580</v>
      </c>
      <c r="F92" s="5" t="s">
        <v>620</v>
      </c>
      <c r="G92" s="9" t="s">
        <v>588</v>
      </c>
      <c r="H92" s="9" t="s">
        <v>588</v>
      </c>
      <c r="I92" s="9" t="s">
        <v>725</v>
      </c>
      <c r="J92" s="5" t="s">
        <v>730</v>
      </c>
      <c r="K92" s="20">
        <v>5</v>
      </c>
      <c r="L92" s="10">
        <f>K92*2</f>
        <v>10</v>
      </c>
      <c r="M92" s="11"/>
      <c r="N92" s="5" t="s">
        <v>727</v>
      </c>
      <c r="O92" s="12">
        <v>45870</v>
      </c>
      <c r="P92" s="12">
        <v>45870</v>
      </c>
      <c r="Q92" s="8"/>
      <c r="R92" s="8"/>
    </row>
    <row r="93" spans="1:18" x14ac:dyDescent="0.25">
      <c r="A93" s="5" t="s">
        <v>138</v>
      </c>
      <c r="B93" s="5" t="s">
        <v>139</v>
      </c>
      <c r="C93" s="6">
        <v>44775</v>
      </c>
      <c r="D93" s="5" t="s">
        <v>589</v>
      </c>
      <c r="E93" s="7" t="s">
        <v>580</v>
      </c>
      <c r="F93" s="8" t="s">
        <v>594</v>
      </c>
      <c r="G93" s="5" t="s">
        <v>847</v>
      </c>
      <c r="H93" s="5" t="s">
        <v>847</v>
      </c>
      <c r="I93" s="9" t="s">
        <v>725</v>
      </c>
      <c r="J93" s="5" t="s">
        <v>751</v>
      </c>
      <c r="K93" s="10">
        <f>5.9+5.2</f>
        <v>11.100000000000001</v>
      </c>
      <c r="L93" s="10">
        <f>K93*2</f>
        <v>22.200000000000003</v>
      </c>
      <c r="M93" s="11"/>
      <c r="N93" s="5" t="s">
        <v>727</v>
      </c>
      <c r="O93" s="5"/>
      <c r="P93" s="5"/>
      <c r="Q93" s="8"/>
      <c r="R93" s="8"/>
    </row>
    <row r="94" spans="1:18" x14ac:dyDescent="0.25">
      <c r="A94" s="5" t="s">
        <v>439</v>
      </c>
      <c r="B94" s="5" t="s">
        <v>440</v>
      </c>
      <c r="C94" s="6">
        <v>45944</v>
      </c>
      <c r="D94" s="28" t="s">
        <v>637</v>
      </c>
      <c r="E94" s="13" t="s">
        <v>580</v>
      </c>
      <c r="F94" s="8" t="s">
        <v>633</v>
      </c>
      <c r="G94" s="9" t="s">
        <v>638</v>
      </c>
      <c r="H94" s="9" t="s">
        <v>638</v>
      </c>
      <c r="I94" s="9" t="s">
        <v>725</v>
      </c>
      <c r="J94" s="5" t="s">
        <v>730</v>
      </c>
      <c r="K94" s="20">
        <v>5</v>
      </c>
      <c r="L94" s="10">
        <f>K94*2</f>
        <v>10</v>
      </c>
      <c r="M94" s="11"/>
      <c r="N94" s="5" t="s">
        <v>727</v>
      </c>
      <c r="O94" s="30" t="s">
        <v>831</v>
      </c>
      <c r="P94" s="30" t="s">
        <v>831</v>
      </c>
      <c r="Q94" s="8"/>
      <c r="R94" s="8"/>
    </row>
    <row r="95" spans="1:18" x14ac:dyDescent="0.25">
      <c r="A95" s="21" t="s">
        <v>40</v>
      </c>
      <c r="B95" s="5" t="s">
        <v>41</v>
      </c>
      <c r="C95" s="6">
        <v>41645</v>
      </c>
      <c r="D95" s="5" t="s">
        <v>602</v>
      </c>
      <c r="E95" s="7" t="s">
        <v>610</v>
      </c>
      <c r="F95" s="5" t="s">
        <v>611</v>
      </c>
      <c r="G95" s="5" t="s">
        <v>856</v>
      </c>
      <c r="H95" s="5" t="s">
        <v>856</v>
      </c>
      <c r="I95" s="9" t="s">
        <v>725</v>
      </c>
      <c r="J95" s="5" t="s">
        <v>741</v>
      </c>
      <c r="K95" s="20">
        <f>5.2+6</f>
        <v>11.2</v>
      </c>
      <c r="L95" s="10">
        <f>K95*2</f>
        <v>22.4</v>
      </c>
      <c r="M95" s="11"/>
      <c r="N95" s="5" t="s">
        <v>727</v>
      </c>
      <c r="O95" s="14">
        <v>45870</v>
      </c>
      <c r="P95" s="12">
        <v>45870</v>
      </c>
      <c r="Q95" s="8"/>
      <c r="R95" s="8"/>
    </row>
    <row r="96" spans="1:18" x14ac:dyDescent="0.25">
      <c r="A96" s="5" t="s">
        <v>120</v>
      </c>
      <c r="B96" s="5" t="s">
        <v>121</v>
      </c>
      <c r="C96" s="6">
        <v>44587</v>
      </c>
      <c r="D96" s="5" t="s">
        <v>589</v>
      </c>
      <c r="E96" s="7" t="s">
        <v>580</v>
      </c>
      <c r="F96" s="5" t="s">
        <v>603</v>
      </c>
      <c r="G96" s="5" t="s">
        <v>847</v>
      </c>
      <c r="H96" s="5" t="s">
        <v>847</v>
      </c>
      <c r="I96" s="9" t="s">
        <v>725</v>
      </c>
      <c r="J96" s="5" t="s">
        <v>730</v>
      </c>
      <c r="K96" s="10">
        <v>5</v>
      </c>
      <c r="L96" s="10">
        <f>K96*2</f>
        <v>10</v>
      </c>
      <c r="M96" s="11"/>
      <c r="N96" s="5" t="s">
        <v>727</v>
      </c>
      <c r="O96" s="5"/>
      <c r="P96" s="5"/>
      <c r="Q96" s="8"/>
      <c r="R96" s="8"/>
    </row>
    <row r="97" spans="1:18" x14ac:dyDescent="0.25">
      <c r="A97" s="21" t="s">
        <v>367</v>
      </c>
      <c r="B97" s="5" t="s">
        <v>571</v>
      </c>
      <c r="C97" s="39" t="s">
        <v>717</v>
      </c>
      <c r="D97" s="5" t="s">
        <v>644</v>
      </c>
      <c r="E97" s="13" t="s">
        <v>580</v>
      </c>
      <c r="F97" s="5" t="s">
        <v>604</v>
      </c>
      <c r="G97" s="5" t="s">
        <v>645</v>
      </c>
      <c r="H97" s="5" t="s">
        <v>645</v>
      </c>
      <c r="I97" s="9" t="s">
        <v>725</v>
      </c>
      <c r="J97" s="5" t="s">
        <v>730</v>
      </c>
      <c r="K97" s="20">
        <f>5.2+3.9</f>
        <v>9.1</v>
      </c>
      <c r="L97" s="10">
        <f>K97*2</f>
        <v>18.2</v>
      </c>
      <c r="M97" s="11" t="s">
        <v>717</v>
      </c>
      <c r="N97" s="5" t="s">
        <v>727</v>
      </c>
      <c r="O97" s="21" t="s">
        <v>845</v>
      </c>
      <c r="P97" s="21" t="s">
        <v>845</v>
      </c>
      <c r="Q97" s="21"/>
      <c r="R97" s="21" t="s">
        <v>845</v>
      </c>
    </row>
    <row r="98" spans="1:18" x14ac:dyDescent="0.25">
      <c r="A98" s="21" t="s">
        <v>263</v>
      </c>
      <c r="B98" s="9" t="s">
        <v>264</v>
      </c>
      <c r="C98" s="6">
        <v>45477</v>
      </c>
      <c r="D98" s="6" t="s">
        <v>639</v>
      </c>
      <c r="E98" s="13" t="s">
        <v>580</v>
      </c>
      <c r="F98" s="8" t="s">
        <v>624</v>
      </c>
      <c r="G98" s="5" t="s">
        <v>626</v>
      </c>
      <c r="H98" s="5" t="s">
        <v>626</v>
      </c>
      <c r="I98" s="9" t="s">
        <v>725</v>
      </c>
      <c r="J98" s="5" t="s">
        <v>730</v>
      </c>
      <c r="K98" s="20">
        <v>5</v>
      </c>
      <c r="L98" s="10">
        <f>K98*2</f>
        <v>10</v>
      </c>
      <c r="M98" s="11"/>
      <c r="N98" s="5" t="s">
        <v>727</v>
      </c>
      <c r="O98" s="12">
        <v>45870</v>
      </c>
      <c r="P98" s="12">
        <v>45870</v>
      </c>
      <c r="Q98" s="8"/>
      <c r="R98" s="8"/>
    </row>
    <row r="99" spans="1:18" x14ac:dyDescent="0.25">
      <c r="A99" s="21" t="s">
        <v>240</v>
      </c>
      <c r="B99" s="5" t="s">
        <v>241</v>
      </c>
      <c r="C99" s="6">
        <v>45379</v>
      </c>
      <c r="D99" s="5" t="s">
        <v>605</v>
      </c>
      <c r="E99" s="13" t="s">
        <v>580</v>
      </c>
      <c r="F99" s="8" t="s">
        <v>581</v>
      </c>
      <c r="G99" s="5" t="s">
        <v>606</v>
      </c>
      <c r="H99" s="5" t="s">
        <v>606</v>
      </c>
      <c r="I99" s="9" t="s">
        <v>725</v>
      </c>
      <c r="J99" s="5" t="s">
        <v>773</v>
      </c>
      <c r="K99" s="20">
        <f>6.75</f>
        <v>6.75</v>
      </c>
      <c r="L99" s="10">
        <f>K99*2</f>
        <v>13.5</v>
      </c>
      <c r="M99" s="11"/>
      <c r="N99" s="5" t="s">
        <v>727</v>
      </c>
      <c r="O99" s="6">
        <v>45870</v>
      </c>
      <c r="P99" s="12">
        <v>45870</v>
      </c>
      <c r="Q99" s="8"/>
      <c r="R99" s="8"/>
    </row>
    <row r="100" spans="1:18" x14ac:dyDescent="0.25">
      <c r="A100" s="21" t="s">
        <v>110</v>
      </c>
      <c r="B100" s="5" t="s">
        <v>111</v>
      </c>
      <c r="C100" s="6">
        <v>44391</v>
      </c>
      <c r="D100" s="5" t="s">
        <v>602</v>
      </c>
      <c r="E100" s="13" t="s">
        <v>580</v>
      </c>
      <c r="F100" s="8" t="s">
        <v>594</v>
      </c>
      <c r="G100" s="5" t="s">
        <v>856</v>
      </c>
      <c r="H100" s="5" t="s">
        <v>856</v>
      </c>
      <c r="I100" s="9" t="s">
        <v>725</v>
      </c>
      <c r="J100" s="5" t="s">
        <v>734</v>
      </c>
      <c r="K100" s="20">
        <f>3.9+5</f>
        <v>8.9</v>
      </c>
      <c r="L100" s="10">
        <f>K100*2</f>
        <v>17.8</v>
      </c>
      <c r="M100" s="11"/>
      <c r="N100" s="5" t="s">
        <v>727</v>
      </c>
      <c r="O100" s="14">
        <v>45870</v>
      </c>
      <c r="P100" s="12">
        <v>45870</v>
      </c>
      <c r="Q100" s="8"/>
      <c r="R100" s="8"/>
    </row>
    <row r="101" spans="1:18" x14ac:dyDescent="0.25">
      <c r="A101" s="13" t="s">
        <v>458</v>
      </c>
      <c r="B101" s="5" t="s">
        <v>517</v>
      </c>
      <c r="C101" s="6" t="s">
        <v>689</v>
      </c>
      <c r="D101" s="5" t="s">
        <v>607</v>
      </c>
      <c r="E101" s="9" t="s">
        <v>580</v>
      </c>
      <c r="F101" s="5" t="s">
        <v>594</v>
      </c>
      <c r="G101" s="9" t="s">
        <v>590</v>
      </c>
      <c r="H101" s="9" t="s">
        <v>590</v>
      </c>
      <c r="I101" s="9" t="s">
        <v>725</v>
      </c>
      <c r="J101" s="5" t="s">
        <v>730</v>
      </c>
      <c r="K101" s="20">
        <v>5</v>
      </c>
      <c r="L101" s="10">
        <f>K101*2</f>
        <v>10</v>
      </c>
      <c r="M101" s="11"/>
      <c r="N101" s="5" t="s">
        <v>727</v>
      </c>
      <c r="O101" s="12">
        <v>45870</v>
      </c>
      <c r="P101" s="12">
        <v>45870</v>
      </c>
      <c r="Q101" s="8"/>
      <c r="R101" s="8"/>
    </row>
    <row r="102" spans="1:18" x14ac:dyDescent="0.25">
      <c r="A102" s="17" t="s">
        <v>312</v>
      </c>
      <c r="B102" s="5" t="s">
        <v>313</v>
      </c>
      <c r="C102" s="6">
        <v>45742</v>
      </c>
      <c r="D102" s="6" t="s">
        <v>591</v>
      </c>
      <c r="E102" s="13" t="s">
        <v>580</v>
      </c>
      <c r="F102" s="8" t="s">
        <v>594</v>
      </c>
      <c r="G102" s="5" t="s">
        <v>588</v>
      </c>
      <c r="H102" s="5" t="s">
        <v>588</v>
      </c>
      <c r="I102" s="9" t="s">
        <v>725</v>
      </c>
      <c r="J102" s="5" t="s">
        <v>730</v>
      </c>
      <c r="K102" s="20">
        <v>5</v>
      </c>
      <c r="L102" s="10">
        <f>K102*2</f>
        <v>10</v>
      </c>
      <c r="M102" s="11"/>
      <c r="N102" s="5" t="s">
        <v>727</v>
      </c>
      <c r="O102" s="12">
        <v>45870</v>
      </c>
      <c r="P102" s="12">
        <v>45870</v>
      </c>
      <c r="Q102" s="8"/>
      <c r="R102" s="8"/>
    </row>
    <row r="103" spans="1:18" x14ac:dyDescent="0.25">
      <c r="A103" s="17" t="s">
        <v>126</v>
      </c>
      <c r="B103" s="5" t="s">
        <v>407</v>
      </c>
      <c r="C103" s="6">
        <v>45902</v>
      </c>
      <c r="D103" s="14" t="s">
        <v>660</v>
      </c>
      <c r="E103" s="14" t="s">
        <v>592</v>
      </c>
      <c r="F103" s="5" t="s">
        <v>593</v>
      </c>
      <c r="G103" s="9" t="s">
        <v>583</v>
      </c>
      <c r="H103" s="8" t="s">
        <v>583</v>
      </c>
      <c r="I103" s="9" t="s">
        <v>725</v>
      </c>
      <c r="J103" s="5" t="s">
        <v>745</v>
      </c>
      <c r="K103" s="20">
        <f>7.35</f>
        <v>7.35</v>
      </c>
      <c r="L103" s="10">
        <f>K103*2</f>
        <v>14.7</v>
      </c>
      <c r="M103" s="11"/>
      <c r="N103" s="5" t="s">
        <v>727</v>
      </c>
      <c r="O103" s="14">
        <v>45916</v>
      </c>
      <c r="P103" s="14">
        <v>45916</v>
      </c>
      <c r="Q103" s="8"/>
      <c r="R103" s="47">
        <v>45946</v>
      </c>
    </row>
    <row r="104" spans="1:18" x14ac:dyDescent="0.25">
      <c r="A104" s="5" t="s">
        <v>84</v>
      </c>
      <c r="B104" s="5" t="s">
        <v>85</v>
      </c>
      <c r="C104" s="6">
        <v>43740</v>
      </c>
      <c r="D104" s="5" t="s">
        <v>589</v>
      </c>
      <c r="E104" s="7" t="s">
        <v>592</v>
      </c>
      <c r="F104" s="5" t="s">
        <v>593</v>
      </c>
      <c r="G104" s="5" t="s">
        <v>583</v>
      </c>
      <c r="H104" s="5" t="s">
        <v>847</v>
      </c>
      <c r="I104" s="9" t="s">
        <v>725</v>
      </c>
      <c r="J104" s="5" t="s">
        <v>752</v>
      </c>
      <c r="K104" s="10">
        <f>3.9+5</f>
        <v>8.9</v>
      </c>
      <c r="L104" s="10">
        <f>K104*2</f>
        <v>17.8</v>
      </c>
      <c r="M104" s="11"/>
      <c r="N104" s="5" t="s">
        <v>727</v>
      </c>
      <c r="O104" s="5"/>
      <c r="P104" s="5"/>
      <c r="Q104" s="8"/>
      <c r="R104" s="8"/>
    </row>
    <row r="105" spans="1:18" x14ac:dyDescent="0.25">
      <c r="A105" s="21" t="s">
        <v>2</v>
      </c>
      <c r="B105" s="5" t="s">
        <v>3</v>
      </c>
      <c r="C105" s="6">
        <v>37479</v>
      </c>
      <c r="D105" s="5" t="s">
        <v>579</v>
      </c>
      <c r="E105" s="13" t="s">
        <v>580</v>
      </c>
      <c r="F105" s="8" t="s">
        <v>581</v>
      </c>
      <c r="G105" s="5" t="s">
        <v>582</v>
      </c>
      <c r="H105" s="5" t="s">
        <v>583</v>
      </c>
      <c r="I105" s="9" t="s">
        <v>725</v>
      </c>
      <c r="J105" s="9" t="s">
        <v>726</v>
      </c>
      <c r="K105" s="10">
        <f>5.8+5.2</f>
        <v>11</v>
      </c>
      <c r="L105" s="10">
        <f>K105*2</f>
        <v>22</v>
      </c>
      <c r="M105" s="11"/>
      <c r="N105" s="5" t="s">
        <v>727</v>
      </c>
      <c r="O105" s="12">
        <v>45870</v>
      </c>
      <c r="P105" s="12">
        <v>45870</v>
      </c>
      <c r="Q105" s="8"/>
      <c r="R105" s="8"/>
    </row>
    <row r="106" spans="1:18" x14ac:dyDescent="0.25">
      <c r="A106" s="21" t="s">
        <v>48</v>
      </c>
      <c r="B106" s="5" t="s">
        <v>49</v>
      </c>
      <c r="C106" s="6">
        <v>42081</v>
      </c>
      <c r="D106" s="5" t="s">
        <v>602</v>
      </c>
      <c r="E106" s="13" t="s">
        <v>580</v>
      </c>
      <c r="F106" s="5" t="s">
        <v>603</v>
      </c>
      <c r="G106" s="5" t="s">
        <v>856</v>
      </c>
      <c r="H106" s="5" t="s">
        <v>856</v>
      </c>
      <c r="I106" s="9" t="s">
        <v>725</v>
      </c>
      <c r="J106" s="5" t="s">
        <v>730</v>
      </c>
      <c r="K106" s="20">
        <v>5</v>
      </c>
      <c r="L106" s="10">
        <f>K106*2</f>
        <v>10</v>
      </c>
      <c r="M106" s="11"/>
      <c r="N106" s="5" t="s">
        <v>727</v>
      </c>
      <c r="O106" s="14">
        <v>45870</v>
      </c>
      <c r="P106" s="12">
        <v>45870</v>
      </c>
      <c r="Q106" s="8"/>
      <c r="R106" s="8"/>
    </row>
    <row r="107" spans="1:18" x14ac:dyDescent="0.25">
      <c r="A107" s="21" t="s">
        <v>180</v>
      </c>
      <c r="B107" s="5" t="s">
        <v>181</v>
      </c>
      <c r="C107" s="6">
        <v>45230</v>
      </c>
      <c r="D107" s="5" t="s">
        <v>602</v>
      </c>
      <c r="E107" s="13" t="s">
        <v>580</v>
      </c>
      <c r="F107" s="8" t="s">
        <v>633</v>
      </c>
      <c r="G107" s="5" t="s">
        <v>856</v>
      </c>
      <c r="H107" s="5" t="s">
        <v>856</v>
      </c>
      <c r="I107" s="9" t="s">
        <v>725</v>
      </c>
      <c r="J107" s="5" t="s">
        <v>730</v>
      </c>
      <c r="K107" s="20">
        <v>5</v>
      </c>
      <c r="L107" s="10">
        <f>K107*2</f>
        <v>10</v>
      </c>
      <c r="M107" s="11"/>
      <c r="N107" s="5" t="s">
        <v>727</v>
      </c>
      <c r="O107" s="14">
        <v>45870</v>
      </c>
      <c r="P107" s="12">
        <v>45870</v>
      </c>
      <c r="Q107" s="8"/>
      <c r="R107" s="8"/>
    </row>
    <row r="108" spans="1:18" x14ac:dyDescent="0.25">
      <c r="A108" s="17" t="s">
        <v>12</v>
      </c>
      <c r="B108" s="9" t="s">
        <v>13</v>
      </c>
      <c r="C108" s="14">
        <v>39125</v>
      </c>
      <c r="D108" s="14" t="s">
        <v>591</v>
      </c>
      <c r="E108" s="13" t="s">
        <v>580</v>
      </c>
      <c r="F108" s="8" t="s">
        <v>594</v>
      </c>
      <c r="G108" s="9" t="s">
        <v>588</v>
      </c>
      <c r="H108" s="9" t="s">
        <v>588</v>
      </c>
      <c r="I108" s="9" t="s">
        <v>725</v>
      </c>
      <c r="J108" s="5" t="s">
        <v>730</v>
      </c>
      <c r="K108" s="20">
        <v>5</v>
      </c>
      <c r="L108" s="10">
        <f>K108*2</f>
        <v>10</v>
      </c>
      <c r="M108" s="11"/>
      <c r="N108" s="5" t="s">
        <v>727</v>
      </c>
      <c r="O108" s="12">
        <v>45870</v>
      </c>
      <c r="P108" s="12">
        <v>45870</v>
      </c>
      <c r="Q108" s="8"/>
      <c r="R108" s="8"/>
    </row>
    <row r="109" spans="1:18" x14ac:dyDescent="0.25">
      <c r="A109" s="19" t="s">
        <v>495</v>
      </c>
      <c r="B109" s="5" t="s">
        <v>496</v>
      </c>
      <c r="C109" s="6" t="s">
        <v>679</v>
      </c>
      <c r="D109" s="5" t="s">
        <v>666</v>
      </c>
      <c r="E109" s="13" t="s">
        <v>580</v>
      </c>
      <c r="F109" s="5" t="s">
        <v>604</v>
      </c>
      <c r="G109" s="5" t="s">
        <v>665</v>
      </c>
      <c r="H109" s="5" t="s">
        <v>665</v>
      </c>
      <c r="I109" s="9" t="s">
        <v>725</v>
      </c>
      <c r="J109" s="5" t="s">
        <v>808</v>
      </c>
      <c r="K109" s="20">
        <f>7.35</f>
        <v>7.35</v>
      </c>
      <c r="L109" s="10">
        <f>K109*2</f>
        <v>14.7</v>
      </c>
      <c r="M109" s="11"/>
      <c r="N109" s="5" t="s">
        <v>727</v>
      </c>
      <c r="O109" s="12">
        <v>45870</v>
      </c>
      <c r="P109" s="12">
        <v>45870</v>
      </c>
      <c r="Q109" s="8"/>
      <c r="R109" s="8"/>
    </row>
    <row r="110" spans="1:18" x14ac:dyDescent="0.25">
      <c r="A110" s="40" t="s">
        <v>346</v>
      </c>
      <c r="B110" s="7" t="s">
        <v>347</v>
      </c>
      <c r="C110" s="28">
        <v>45842</v>
      </c>
      <c r="D110" s="41" t="s">
        <v>639</v>
      </c>
      <c r="E110" s="13" t="s">
        <v>580</v>
      </c>
      <c r="F110" s="8" t="s">
        <v>594</v>
      </c>
      <c r="G110" s="7" t="s">
        <v>626</v>
      </c>
      <c r="H110" s="7" t="s">
        <v>626</v>
      </c>
      <c r="I110" s="9" t="s">
        <v>725</v>
      </c>
      <c r="J110" s="5" t="s">
        <v>730</v>
      </c>
      <c r="K110" s="20">
        <v>5</v>
      </c>
      <c r="L110" s="10">
        <f>K110*2</f>
        <v>10</v>
      </c>
      <c r="M110" s="11"/>
      <c r="N110" s="5" t="s">
        <v>727</v>
      </c>
      <c r="O110" s="12">
        <v>45870</v>
      </c>
      <c r="P110" s="12">
        <v>45870</v>
      </c>
      <c r="Q110" s="8"/>
      <c r="R110" s="8"/>
    </row>
    <row r="111" spans="1:18" x14ac:dyDescent="0.25">
      <c r="A111" s="21" t="s">
        <v>367</v>
      </c>
      <c r="B111" s="5" t="s">
        <v>460</v>
      </c>
      <c r="C111" s="6">
        <v>45972</v>
      </c>
      <c r="D111" s="5" t="s">
        <v>637</v>
      </c>
      <c r="E111" s="13" t="s">
        <v>580</v>
      </c>
      <c r="F111" s="5" t="s">
        <v>633</v>
      </c>
      <c r="G111" s="5" t="s">
        <v>638</v>
      </c>
      <c r="H111" s="5" t="s">
        <v>638</v>
      </c>
      <c r="I111" s="9" t="s">
        <v>725</v>
      </c>
      <c r="J111" s="5" t="s">
        <v>730</v>
      </c>
      <c r="K111" s="10">
        <v>5</v>
      </c>
      <c r="L111" s="10">
        <f>K111*2</f>
        <v>10</v>
      </c>
      <c r="M111" s="26"/>
      <c r="N111" s="5" t="s">
        <v>727</v>
      </c>
      <c r="O111" s="6">
        <v>46000</v>
      </c>
      <c r="P111" s="6">
        <v>46000</v>
      </c>
      <c r="Q111" s="6"/>
      <c r="R111" s="6">
        <v>46000</v>
      </c>
    </row>
    <row r="112" spans="1:18" x14ac:dyDescent="0.25">
      <c r="A112" s="21" t="s">
        <v>458</v>
      </c>
      <c r="B112" s="5" t="s">
        <v>459</v>
      </c>
      <c r="C112" s="6">
        <v>45971</v>
      </c>
      <c r="D112" s="14" t="s">
        <v>617</v>
      </c>
      <c r="E112" s="14" t="s">
        <v>592</v>
      </c>
      <c r="F112" s="5" t="s">
        <v>593</v>
      </c>
      <c r="G112" s="9" t="s">
        <v>618</v>
      </c>
      <c r="H112" s="9" t="s">
        <v>618</v>
      </c>
      <c r="I112" s="9" t="s">
        <v>725</v>
      </c>
      <c r="J112" s="9" t="s">
        <v>797</v>
      </c>
      <c r="K112" s="10">
        <f>6.24+6.24</f>
        <v>12.48</v>
      </c>
      <c r="L112" s="10">
        <f>K112*2</f>
        <v>24.96</v>
      </c>
      <c r="M112" s="5"/>
      <c r="N112" s="5" t="s">
        <v>727</v>
      </c>
      <c r="O112" s="6">
        <v>45975</v>
      </c>
      <c r="P112" s="21" t="s">
        <v>832</v>
      </c>
      <c r="Q112" s="8"/>
      <c r="R112" s="8"/>
    </row>
    <row r="113" spans="1:18" x14ac:dyDescent="0.25">
      <c r="A113" s="5" t="s">
        <v>234</v>
      </c>
      <c r="B113" s="5" t="s">
        <v>235</v>
      </c>
      <c r="C113" s="6">
        <v>45365</v>
      </c>
      <c r="D113" s="5" t="s">
        <v>589</v>
      </c>
      <c r="E113" s="13" t="s">
        <v>580</v>
      </c>
      <c r="F113" s="8" t="s">
        <v>633</v>
      </c>
      <c r="G113" s="5" t="s">
        <v>847</v>
      </c>
      <c r="H113" s="5" t="s">
        <v>847</v>
      </c>
      <c r="I113" s="9" t="s">
        <v>725</v>
      </c>
      <c r="J113" s="5" t="s">
        <v>752</v>
      </c>
      <c r="K113" s="10">
        <f>5+3.9</f>
        <v>8.9</v>
      </c>
      <c r="L113" s="10">
        <f>K113*2</f>
        <v>17.8</v>
      </c>
      <c r="M113" s="11"/>
      <c r="N113" s="5" t="s">
        <v>727</v>
      </c>
      <c r="O113" s="5"/>
      <c r="P113" s="5"/>
      <c r="Q113" s="8"/>
      <c r="R113" s="8"/>
    </row>
    <row r="114" spans="1:18" x14ac:dyDescent="0.25">
      <c r="A114" s="5" t="s">
        <v>92</v>
      </c>
      <c r="B114" s="5" t="s">
        <v>93</v>
      </c>
      <c r="C114" s="6">
        <v>44139</v>
      </c>
      <c r="D114" s="5" t="s">
        <v>596</v>
      </c>
      <c r="E114" s="7" t="s">
        <v>580</v>
      </c>
      <c r="F114" s="8" t="s">
        <v>594</v>
      </c>
      <c r="G114" s="5" t="s">
        <v>597</v>
      </c>
      <c r="H114" s="5" t="s">
        <v>597</v>
      </c>
      <c r="I114" s="9" t="s">
        <v>725</v>
      </c>
      <c r="J114" s="5" t="s">
        <v>730</v>
      </c>
      <c r="K114" s="10">
        <v>5</v>
      </c>
      <c r="L114" s="10">
        <f>K114*2</f>
        <v>10</v>
      </c>
      <c r="M114" s="11"/>
      <c r="N114" s="5" t="s">
        <v>727</v>
      </c>
      <c r="O114" s="6">
        <v>45870</v>
      </c>
      <c r="P114" s="12">
        <v>45870</v>
      </c>
      <c r="Q114" s="8"/>
      <c r="R114" s="8"/>
    </row>
    <row r="115" spans="1:18" x14ac:dyDescent="0.25">
      <c r="A115" s="17" t="s">
        <v>64</v>
      </c>
      <c r="B115" s="9" t="s">
        <v>65</v>
      </c>
      <c r="C115" s="14">
        <v>43383</v>
      </c>
      <c r="D115" s="14" t="s">
        <v>591</v>
      </c>
      <c r="E115" s="9" t="s">
        <v>580</v>
      </c>
      <c r="F115" s="5" t="s">
        <v>604</v>
      </c>
      <c r="G115" s="9" t="s">
        <v>619</v>
      </c>
      <c r="H115" s="9" t="s">
        <v>588</v>
      </c>
      <c r="I115" s="9" t="s">
        <v>725</v>
      </c>
      <c r="J115" s="9" t="s">
        <v>746</v>
      </c>
      <c r="K115" s="16">
        <v>8.9</v>
      </c>
      <c r="L115" s="10">
        <f>K115*2</f>
        <v>17.8</v>
      </c>
      <c r="M115" s="11"/>
      <c r="N115" s="5" t="s">
        <v>727</v>
      </c>
      <c r="O115" s="12">
        <v>45870</v>
      </c>
      <c r="P115" s="12">
        <v>45870</v>
      </c>
      <c r="Q115" s="8"/>
      <c r="R115" s="8"/>
    </row>
    <row r="116" spans="1:18" x14ac:dyDescent="0.25">
      <c r="A116" s="13" t="s">
        <v>485</v>
      </c>
      <c r="B116" s="5" t="s">
        <v>486</v>
      </c>
      <c r="C116" s="6" t="s">
        <v>674</v>
      </c>
      <c r="D116" s="5" t="s">
        <v>607</v>
      </c>
      <c r="E116" s="9" t="s">
        <v>580</v>
      </c>
      <c r="F116" s="5" t="s">
        <v>594</v>
      </c>
      <c r="G116" s="9" t="s">
        <v>590</v>
      </c>
      <c r="H116" s="9" t="s">
        <v>590</v>
      </c>
      <c r="I116" s="9" t="s">
        <v>725</v>
      </c>
      <c r="J116" s="5" t="s">
        <v>730</v>
      </c>
      <c r="K116" s="20">
        <v>5</v>
      </c>
      <c r="L116" s="10">
        <f>K116*2</f>
        <v>10</v>
      </c>
      <c r="M116" s="11"/>
      <c r="N116" s="5" t="s">
        <v>727</v>
      </c>
      <c r="O116" s="12">
        <v>45870</v>
      </c>
      <c r="P116" s="12">
        <v>45870</v>
      </c>
      <c r="Q116" s="8"/>
      <c r="R116" s="8"/>
    </row>
    <row r="117" spans="1:18" x14ac:dyDescent="0.25">
      <c r="A117" s="17" t="s">
        <v>259</v>
      </c>
      <c r="B117" s="5" t="s">
        <v>260</v>
      </c>
      <c r="C117" s="14">
        <v>45458</v>
      </c>
      <c r="D117" s="14" t="s">
        <v>591</v>
      </c>
      <c r="E117" s="14" t="s">
        <v>592</v>
      </c>
      <c r="F117" s="5" t="s">
        <v>593</v>
      </c>
      <c r="G117" s="5" t="s">
        <v>588</v>
      </c>
      <c r="H117" s="5" t="s">
        <v>588</v>
      </c>
      <c r="I117" s="9" t="s">
        <v>725</v>
      </c>
      <c r="J117" s="5" t="s">
        <v>730</v>
      </c>
      <c r="K117" s="20">
        <v>5</v>
      </c>
      <c r="L117" s="10">
        <f>K117*2</f>
        <v>10</v>
      </c>
      <c r="M117" s="11"/>
      <c r="N117" s="5" t="s">
        <v>727</v>
      </c>
      <c r="O117" s="12">
        <v>45870</v>
      </c>
      <c r="P117" s="12">
        <v>45870</v>
      </c>
      <c r="Q117" s="8"/>
      <c r="R117" s="8"/>
    </row>
    <row r="118" spans="1:18" x14ac:dyDescent="0.25">
      <c r="A118" s="5" t="s">
        <v>244</v>
      </c>
      <c r="B118" s="5" t="s">
        <v>245</v>
      </c>
      <c r="C118" s="6">
        <v>45393</v>
      </c>
      <c r="D118" s="5" t="s">
        <v>589</v>
      </c>
      <c r="E118" s="7" t="s">
        <v>580</v>
      </c>
      <c r="F118" s="5" t="s">
        <v>603</v>
      </c>
      <c r="G118" s="5" t="s">
        <v>847</v>
      </c>
      <c r="H118" s="5" t="s">
        <v>847</v>
      </c>
      <c r="I118" s="9" t="s">
        <v>725</v>
      </c>
      <c r="J118" s="5" t="s">
        <v>749</v>
      </c>
      <c r="K118" s="10">
        <f>5.8+5.2</f>
        <v>11</v>
      </c>
      <c r="L118" s="10">
        <f>K118*2</f>
        <v>22</v>
      </c>
      <c r="M118" s="11"/>
      <c r="N118" s="5" t="s">
        <v>727</v>
      </c>
      <c r="O118" s="5"/>
      <c r="P118" s="5"/>
      <c r="Q118" s="8"/>
      <c r="R118" s="8"/>
    </row>
    <row r="119" spans="1:18" x14ac:dyDescent="0.25">
      <c r="A119" s="17" t="s">
        <v>150</v>
      </c>
      <c r="B119" s="9" t="s">
        <v>151</v>
      </c>
      <c r="C119" s="14">
        <v>44945</v>
      </c>
      <c r="D119" s="14" t="s">
        <v>591</v>
      </c>
      <c r="E119" s="9" t="s">
        <v>580</v>
      </c>
      <c r="F119" s="5" t="s">
        <v>604</v>
      </c>
      <c r="G119" s="9" t="s">
        <v>588</v>
      </c>
      <c r="H119" s="9" t="s">
        <v>588</v>
      </c>
      <c r="I119" s="9" t="s">
        <v>725</v>
      </c>
      <c r="J119" s="5" t="s">
        <v>730</v>
      </c>
      <c r="K119" s="20">
        <v>5</v>
      </c>
      <c r="L119" s="10">
        <f>K119*2</f>
        <v>10</v>
      </c>
      <c r="M119" s="11"/>
      <c r="N119" s="5" t="s">
        <v>727</v>
      </c>
      <c r="O119" s="12">
        <v>45870</v>
      </c>
      <c r="P119" s="12">
        <v>45870</v>
      </c>
      <c r="Q119" s="8"/>
      <c r="R119" s="8"/>
    </row>
    <row r="120" spans="1:18" x14ac:dyDescent="0.25">
      <c r="A120" s="21" t="s">
        <v>32</v>
      </c>
      <c r="B120" s="5" t="s">
        <v>33</v>
      </c>
      <c r="C120" s="6">
        <v>41004</v>
      </c>
      <c r="D120" s="5" t="s">
        <v>605</v>
      </c>
      <c r="E120" s="14" t="s">
        <v>600</v>
      </c>
      <c r="F120" s="8" t="s">
        <v>601</v>
      </c>
      <c r="G120" s="5" t="s">
        <v>606</v>
      </c>
      <c r="H120" s="5" t="s">
        <v>606</v>
      </c>
      <c r="I120" s="9" t="s">
        <v>725</v>
      </c>
      <c r="J120" s="5" t="s">
        <v>737</v>
      </c>
      <c r="K120" s="20">
        <f>5.95</f>
        <v>5.95</v>
      </c>
      <c r="L120" s="10">
        <f>K120*2</f>
        <v>11.9</v>
      </c>
      <c r="M120" s="11"/>
      <c r="N120" s="5" t="s">
        <v>727</v>
      </c>
      <c r="O120" s="6">
        <v>45870</v>
      </c>
      <c r="P120" s="12">
        <v>45870</v>
      </c>
      <c r="Q120" s="8"/>
      <c r="R120" s="8"/>
    </row>
    <row r="121" spans="1:18" x14ac:dyDescent="0.25">
      <c r="A121" s="17" t="s">
        <v>227</v>
      </c>
      <c r="B121" s="36" t="s">
        <v>228</v>
      </c>
      <c r="C121" s="6">
        <v>45355</v>
      </c>
      <c r="D121" s="14" t="s">
        <v>584</v>
      </c>
      <c r="E121" s="6" t="s">
        <v>634</v>
      </c>
      <c r="F121" s="36" t="s">
        <v>635</v>
      </c>
      <c r="G121" s="9" t="s">
        <v>599</v>
      </c>
      <c r="H121" s="8" t="s">
        <v>599</v>
      </c>
      <c r="I121" s="9" t="s">
        <v>728</v>
      </c>
      <c r="J121" s="15" t="s">
        <v>728</v>
      </c>
      <c r="K121" s="11">
        <v>0</v>
      </c>
      <c r="L121" s="10">
        <f>K121*2</f>
        <v>0</v>
      </c>
      <c r="M121" s="11" t="s">
        <v>727</v>
      </c>
      <c r="N121" s="5" t="s">
        <v>717</v>
      </c>
      <c r="O121" s="12">
        <v>45870</v>
      </c>
      <c r="P121" s="12">
        <v>45870</v>
      </c>
      <c r="Q121" s="8"/>
      <c r="R121" s="8"/>
    </row>
    <row r="122" spans="1:18" x14ac:dyDescent="0.25">
      <c r="A122" s="17" t="s">
        <v>359</v>
      </c>
      <c r="B122" s="9" t="s">
        <v>360</v>
      </c>
      <c r="C122" s="14">
        <v>45867</v>
      </c>
      <c r="D122" s="14" t="s">
        <v>617</v>
      </c>
      <c r="E122" s="13" t="s">
        <v>580</v>
      </c>
      <c r="F122" s="8" t="s">
        <v>633</v>
      </c>
      <c r="G122" s="9" t="s">
        <v>618</v>
      </c>
      <c r="H122" s="9" t="s">
        <v>618</v>
      </c>
      <c r="I122" s="9" t="s">
        <v>725</v>
      </c>
      <c r="J122" s="9" t="s">
        <v>780</v>
      </c>
      <c r="K122" s="16">
        <v>5.95</v>
      </c>
      <c r="L122" s="10">
        <f>K122*2</f>
        <v>11.9</v>
      </c>
      <c r="M122" s="11"/>
      <c r="N122" s="5" t="s">
        <v>727</v>
      </c>
      <c r="O122" s="6">
        <v>45901</v>
      </c>
      <c r="P122" s="6">
        <v>45901</v>
      </c>
      <c r="Q122" s="8"/>
      <c r="R122" s="8"/>
    </row>
    <row r="123" spans="1:18" x14ac:dyDescent="0.25">
      <c r="A123" s="21" t="s">
        <v>215</v>
      </c>
      <c r="B123" s="9" t="s">
        <v>272</v>
      </c>
      <c r="C123" s="6">
        <v>45575</v>
      </c>
      <c r="D123" s="6" t="s">
        <v>637</v>
      </c>
      <c r="E123" s="13" t="s">
        <v>580</v>
      </c>
      <c r="F123" s="5" t="s">
        <v>604</v>
      </c>
      <c r="G123" s="5" t="s">
        <v>652</v>
      </c>
      <c r="H123" s="8" t="s">
        <v>599</v>
      </c>
      <c r="I123" s="9" t="s">
        <v>725</v>
      </c>
      <c r="J123" s="5" t="s">
        <v>730</v>
      </c>
      <c r="K123" s="20">
        <v>5</v>
      </c>
      <c r="L123" s="10">
        <f>K123*2</f>
        <v>10</v>
      </c>
      <c r="M123" s="11"/>
      <c r="N123" s="5" t="s">
        <v>727</v>
      </c>
      <c r="O123" s="12">
        <v>45870</v>
      </c>
      <c r="P123" s="12">
        <v>45870</v>
      </c>
      <c r="Q123" s="8"/>
      <c r="R123" s="8"/>
    </row>
    <row r="124" spans="1:18" x14ac:dyDescent="0.25">
      <c r="A124" s="13" t="s">
        <v>284</v>
      </c>
      <c r="B124" s="5" t="s">
        <v>285</v>
      </c>
      <c r="C124" s="6">
        <v>45622</v>
      </c>
      <c r="D124" s="5" t="s">
        <v>607</v>
      </c>
      <c r="E124" s="14" t="s">
        <v>592</v>
      </c>
      <c r="F124" s="5" t="s">
        <v>593</v>
      </c>
      <c r="G124" s="9" t="s">
        <v>590</v>
      </c>
      <c r="H124" s="9" t="s">
        <v>590</v>
      </c>
      <c r="I124" s="9" t="s">
        <v>725</v>
      </c>
      <c r="J124" s="9" t="s">
        <v>777</v>
      </c>
      <c r="K124" s="16">
        <v>5.2</v>
      </c>
      <c r="L124" s="10">
        <f>K124*2</f>
        <v>10.4</v>
      </c>
      <c r="M124" s="11"/>
      <c r="N124" s="5" t="s">
        <v>727</v>
      </c>
      <c r="O124" s="12">
        <v>45870</v>
      </c>
      <c r="P124" s="12">
        <v>45870</v>
      </c>
      <c r="Q124" s="8"/>
      <c r="R124" s="8"/>
    </row>
    <row r="125" spans="1:18" x14ac:dyDescent="0.25">
      <c r="A125" s="21" t="s">
        <v>399</v>
      </c>
      <c r="B125" s="9" t="s">
        <v>400</v>
      </c>
      <c r="C125" s="6">
        <v>45877</v>
      </c>
      <c r="D125" s="28" t="s">
        <v>637</v>
      </c>
      <c r="E125" s="13" t="s">
        <v>580</v>
      </c>
      <c r="F125" s="8" t="s">
        <v>594</v>
      </c>
      <c r="G125" s="9" t="s">
        <v>638</v>
      </c>
      <c r="H125" s="9" t="s">
        <v>638</v>
      </c>
      <c r="I125" s="9" t="s">
        <v>725</v>
      </c>
      <c r="J125" s="5" t="s">
        <v>730</v>
      </c>
      <c r="K125" s="20">
        <v>5</v>
      </c>
      <c r="L125" s="10">
        <f>K125*2</f>
        <v>10</v>
      </c>
      <c r="M125" s="11"/>
      <c r="N125" s="5" t="s">
        <v>727</v>
      </c>
      <c r="O125" s="21" t="s">
        <v>830</v>
      </c>
      <c r="P125" s="21" t="s">
        <v>825</v>
      </c>
      <c r="Q125" s="8"/>
      <c r="R125" s="8"/>
    </row>
    <row r="126" spans="1:18" x14ac:dyDescent="0.25">
      <c r="A126" s="17" t="s">
        <v>78</v>
      </c>
      <c r="B126" s="9" t="s">
        <v>79</v>
      </c>
      <c r="C126" s="14">
        <v>43728</v>
      </c>
      <c r="D126" s="14" t="s">
        <v>617</v>
      </c>
      <c r="E126" s="13" t="s">
        <v>580</v>
      </c>
      <c r="F126" s="8" t="s">
        <v>581</v>
      </c>
      <c r="G126" s="9" t="s">
        <v>623</v>
      </c>
      <c r="H126" s="9" t="s">
        <v>618</v>
      </c>
      <c r="I126" s="9" t="s">
        <v>725</v>
      </c>
      <c r="J126" s="9" t="s">
        <v>750</v>
      </c>
      <c r="K126" s="11">
        <v>11.9</v>
      </c>
      <c r="L126" s="10">
        <f>K126*2</f>
        <v>23.8</v>
      </c>
      <c r="M126" s="11"/>
      <c r="N126" s="5" t="s">
        <v>727</v>
      </c>
      <c r="O126" s="6">
        <v>45870</v>
      </c>
      <c r="P126" s="12">
        <v>45870</v>
      </c>
      <c r="Q126" s="8"/>
      <c r="R126" s="8"/>
    </row>
    <row r="127" spans="1:18" x14ac:dyDescent="0.25">
      <c r="A127" s="17" t="s">
        <v>363</v>
      </c>
      <c r="B127" s="9" t="s">
        <v>364</v>
      </c>
      <c r="C127" s="14">
        <v>45869</v>
      </c>
      <c r="D127" s="14" t="s">
        <v>617</v>
      </c>
      <c r="E127" s="13" t="s">
        <v>580</v>
      </c>
      <c r="F127" s="8" t="s">
        <v>594</v>
      </c>
      <c r="G127" s="9" t="s">
        <v>618</v>
      </c>
      <c r="H127" s="9" t="s">
        <v>618</v>
      </c>
      <c r="I127" s="15" t="s">
        <v>740</v>
      </c>
      <c r="J127" s="15" t="s">
        <v>782</v>
      </c>
      <c r="K127" s="34">
        <v>0</v>
      </c>
      <c r="L127" s="10">
        <f>K127*2</f>
        <v>0</v>
      </c>
      <c r="M127" s="11"/>
      <c r="N127" s="5" t="s">
        <v>727</v>
      </c>
      <c r="O127" s="6">
        <v>45870</v>
      </c>
      <c r="P127" s="12">
        <v>45870</v>
      </c>
      <c r="Q127" s="8"/>
      <c r="R127" s="8"/>
    </row>
    <row r="128" spans="1:18" x14ac:dyDescent="0.25">
      <c r="A128" s="21" t="s">
        <v>334</v>
      </c>
      <c r="B128" s="5" t="s">
        <v>424</v>
      </c>
      <c r="C128" s="6">
        <v>45929</v>
      </c>
      <c r="D128" s="6" t="s">
        <v>639</v>
      </c>
      <c r="E128" s="14" t="s">
        <v>655</v>
      </c>
      <c r="F128" s="5" t="s">
        <v>656</v>
      </c>
      <c r="G128" s="5" t="s">
        <v>626</v>
      </c>
      <c r="H128" s="5" t="s">
        <v>626</v>
      </c>
      <c r="I128" s="9" t="s">
        <v>725</v>
      </c>
      <c r="J128" s="5" t="s">
        <v>730</v>
      </c>
      <c r="K128" s="20">
        <v>5</v>
      </c>
      <c r="L128" s="10">
        <f>K128*2</f>
        <v>10</v>
      </c>
      <c r="M128" s="11"/>
      <c r="N128" s="5" t="s">
        <v>727</v>
      </c>
      <c r="O128" s="6">
        <v>45929</v>
      </c>
      <c r="P128" s="6">
        <v>45929</v>
      </c>
      <c r="Q128" s="8"/>
      <c r="R128" s="8"/>
    </row>
    <row r="129" spans="1:18" x14ac:dyDescent="0.25">
      <c r="A129" s="21" t="s">
        <v>270</v>
      </c>
      <c r="B129" s="5" t="s">
        <v>271</v>
      </c>
      <c r="C129" s="6">
        <v>45575</v>
      </c>
      <c r="D129" s="5" t="s">
        <v>602</v>
      </c>
      <c r="E129" s="7" t="s">
        <v>621</v>
      </c>
      <c r="F129" s="5" t="s">
        <v>622</v>
      </c>
      <c r="G129" s="5" t="s">
        <v>856</v>
      </c>
      <c r="H129" s="5" t="s">
        <v>856</v>
      </c>
      <c r="I129" s="9" t="s">
        <v>725</v>
      </c>
      <c r="J129" s="5" t="s">
        <v>730</v>
      </c>
      <c r="K129" s="20">
        <v>5</v>
      </c>
      <c r="L129" s="10">
        <f>K129*2</f>
        <v>10</v>
      </c>
      <c r="M129" s="11"/>
      <c r="N129" s="5" t="s">
        <v>727</v>
      </c>
      <c r="O129" s="14">
        <v>45870</v>
      </c>
      <c r="P129" s="12">
        <v>45870</v>
      </c>
      <c r="Q129" s="8"/>
      <c r="R129" s="8"/>
    </row>
    <row r="130" spans="1:18" x14ac:dyDescent="0.25">
      <c r="A130" s="21" t="s">
        <v>156</v>
      </c>
      <c r="B130" s="5" t="s">
        <v>222</v>
      </c>
      <c r="C130" s="6">
        <v>45344</v>
      </c>
      <c r="D130" s="6" t="s">
        <v>644</v>
      </c>
      <c r="E130" s="5" t="s">
        <v>641</v>
      </c>
      <c r="F130" s="5" t="s">
        <v>642</v>
      </c>
      <c r="G130" s="5" t="s">
        <v>645</v>
      </c>
      <c r="H130" s="5" t="s">
        <v>645</v>
      </c>
      <c r="I130" s="9" t="s">
        <v>725</v>
      </c>
      <c r="J130" s="5" t="s">
        <v>730</v>
      </c>
      <c r="K130" s="20">
        <v>5</v>
      </c>
      <c r="L130" s="10">
        <f>K130*2</f>
        <v>10</v>
      </c>
      <c r="M130" s="11"/>
      <c r="N130" s="5" t="s">
        <v>727</v>
      </c>
      <c r="O130" s="12">
        <v>45870</v>
      </c>
      <c r="P130" s="12">
        <v>45870</v>
      </c>
      <c r="Q130" s="8"/>
      <c r="R130" s="8"/>
    </row>
    <row r="131" spans="1:18" x14ac:dyDescent="0.25">
      <c r="A131" s="21" t="s">
        <v>372</v>
      </c>
      <c r="B131" s="9" t="s">
        <v>373</v>
      </c>
      <c r="C131" s="14">
        <v>45870</v>
      </c>
      <c r="D131" s="5" t="s">
        <v>661</v>
      </c>
      <c r="E131" s="13" t="s">
        <v>580</v>
      </c>
      <c r="F131" s="5" t="s">
        <v>604</v>
      </c>
      <c r="G131" s="5" t="s">
        <v>625</v>
      </c>
      <c r="H131" s="9" t="s">
        <v>861</v>
      </c>
      <c r="I131" s="15" t="s">
        <v>740</v>
      </c>
      <c r="J131" s="15" t="s">
        <v>740</v>
      </c>
      <c r="K131" s="34">
        <v>0</v>
      </c>
      <c r="L131" s="10">
        <f>K131*2</f>
        <v>0</v>
      </c>
      <c r="M131" s="26"/>
      <c r="N131" s="5" t="s">
        <v>727</v>
      </c>
      <c r="O131" s="6">
        <v>45989</v>
      </c>
      <c r="P131" s="6">
        <v>45989</v>
      </c>
      <c r="Q131" s="8"/>
      <c r="R131" s="24">
        <v>45993</v>
      </c>
    </row>
    <row r="132" spans="1:18" x14ac:dyDescent="0.25">
      <c r="A132" s="21" t="s">
        <v>321</v>
      </c>
      <c r="B132" s="5" t="s">
        <v>322</v>
      </c>
      <c r="C132" s="6">
        <v>45762</v>
      </c>
      <c r="D132" s="5" t="s">
        <v>602</v>
      </c>
      <c r="E132" s="13" t="s">
        <v>580</v>
      </c>
      <c r="F132" s="8" t="s">
        <v>633</v>
      </c>
      <c r="G132" s="5" t="s">
        <v>856</v>
      </c>
      <c r="H132" s="5" t="s">
        <v>856</v>
      </c>
      <c r="I132" s="9" t="s">
        <v>725</v>
      </c>
      <c r="J132" s="5" t="s">
        <v>730</v>
      </c>
      <c r="K132" s="20">
        <v>5</v>
      </c>
      <c r="L132" s="10">
        <f>K132*2</f>
        <v>10</v>
      </c>
      <c r="M132" s="11"/>
      <c r="N132" s="5" t="s">
        <v>727</v>
      </c>
      <c r="O132" s="14">
        <v>45870</v>
      </c>
      <c r="P132" s="12">
        <v>45870</v>
      </c>
      <c r="Q132" s="8"/>
      <c r="R132" s="47">
        <v>45787</v>
      </c>
    </row>
    <row r="133" spans="1:18" x14ac:dyDescent="0.25">
      <c r="A133" s="5" t="s">
        <v>306</v>
      </c>
      <c r="B133" s="5" t="s">
        <v>307</v>
      </c>
      <c r="C133" s="6">
        <v>45708</v>
      </c>
      <c r="D133" s="5" t="s">
        <v>596</v>
      </c>
      <c r="E133" s="7" t="s">
        <v>580</v>
      </c>
      <c r="F133" s="8" t="s">
        <v>594</v>
      </c>
      <c r="G133" s="5" t="s">
        <v>597</v>
      </c>
      <c r="H133" s="5" t="s">
        <v>597</v>
      </c>
      <c r="I133" s="15" t="s">
        <v>740</v>
      </c>
      <c r="J133" s="15" t="s">
        <v>740</v>
      </c>
      <c r="K133" s="34">
        <v>0</v>
      </c>
      <c r="L133" s="10">
        <f>K133*2</f>
        <v>0</v>
      </c>
      <c r="M133" s="11"/>
      <c r="N133" s="5" t="s">
        <v>727</v>
      </c>
      <c r="O133" s="6">
        <v>45870</v>
      </c>
      <c r="P133" s="12">
        <v>45870</v>
      </c>
      <c r="Q133" s="8"/>
      <c r="R133" s="8"/>
    </row>
    <row r="134" spans="1:18" x14ac:dyDescent="0.25">
      <c r="A134" s="21" t="s">
        <v>128</v>
      </c>
      <c r="B134" s="5" t="s">
        <v>402</v>
      </c>
      <c r="C134" s="41">
        <v>45888</v>
      </c>
      <c r="D134" s="5" t="s">
        <v>660</v>
      </c>
      <c r="E134" s="13" t="s">
        <v>580</v>
      </c>
      <c r="F134" s="8" t="s">
        <v>594</v>
      </c>
      <c r="G134" s="5" t="s">
        <v>583</v>
      </c>
      <c r="H134" s="5" t="s">
        <v>583</v>
      </c>
      <c r="I134" s="9" t="s">
        <v>725</v>
      </c>
      <c r="J134" s="5" t="s">
        <v>787</v>
      </c>
      <c r="K134" s="20">
        <f>6.15</f>
        <v>6.15</v>
      </c>
      <c r="L134" s="10">
        <f>K134*2</f>
        <v>12.3</v>
      </c>
      <c r="M134" s="11"/>
      <c r="N134" s="5" t="s">
        <v>727</v>
      </c>
      <c r="O134" s="14">
        <v>45902</v>
      </c>
      <c r="P134" s="14">
        <v>45902</v>
      </c>
      <c r="Q134" s="8"/>
      <c r="R134" s="47">
        <v>45918</v>
      </c>
    </row>
    <row r="135" spans="1:18" x14ac:dyDescent="0.25">
      <c r="A135" s="21" t="s">
        <v>202</v>
      </c>
      <c r="B135" s="9" t="s">
        <v>370</v>
      </c>
      <c r="C135" s="14">
        <v>45870</v>
      </c>
      <c r="D135" s="5" t="s">
        <v>661</v>
      </c>
      <c r="E135" s="13" t="s">
        <v>580</v>
      </c>
      <c r="F135" s="5" t="s">
        <v>604</v>
      </c>
      <c r="G135" s="5" t="s">
        <v>625</v>
      </c>
      <c r="H135" s="9" t="s">
        <v>861</v>
      </c>
      <c r="I135" s="9" t="s">
        <v>725</v>
      </c>
      <c r="J135" s="5" t="s">
        <v>730</v>
      </c>
      <c r="K135" s="20">
        <v>5</v>
      </c>
      <c r="L135" s="10">
        <f>K135*2</f>
        <v>10</v>
      </c>
      <c r="M135" s="11"/>
      <c r="N135" s="5" t="s">
        <v>727</v>
      </c>
      <c r="O135" s="42">
        <v>45933</v>
      </c>
      <c r="P135" s="42">
        <v>45933</v>
      </c>
      <c r="Q135" s="8"/>
      <c r="R135" s="8"/>
    </row>
    <row r="136" spans="1:18" x14ac:dyDescent="0.25">
      <c r="A136" s="19" t="s">
        <v>553</v>
      </c>
      <c r="B136" s="5" t="s">
        <v>554</v>
      </c>
      <c r="C136" s="6" t="s">
        <v>710</v>
      </c>
      <c r="D136" s="5" t="s">
        <v>660</v>
      </c>
      <c r="E136" s="13" t="s">
        <v>580</v>
      </c>
      <c r="F136" s="8" t="s">
        <v>594</v>
      </c>
      <c r="G136" s="5" t="s">
        <v>583</v>
      </c>
      <c r="H136" s="5" t="s">
        <v>583</v>
      </c>
      <c r="I136" s="9" t="s">
        <v>725</v>
      </c>
      <c r="J136" s="9" t="s">
        <v>821</v>
      </c>
      <c r="K136" s="16">
        <f>8.9</f>
        <v>8.9</v>
      </c>
      <c r="L136" s="10">
        <f>K136*2</f>
        <v>17.8</v>
      </c>
      <c r="M136" s="11"/>
      <c r="N136" s="5" t="s">
        <v>727</v>
      </c>
      <c r="O136" s="12">
        <v>45870</v>
      </c>
      <c r="P136" s="12">
        <v>45870</v>
      </c>
      <c r="Q136" s="8"/>
      <c r="R136" s="8"/>
    </row>
    <row r="137" spans="1:18" x14ac:dyDescent="0.25">
      <c r="A137" s="21" t="s">
        <v>200</v>
      </c>
      <c r="B137" s="5" t="s">
        <v>201</v>
      </c>
      <c r="C137" s="6">
        <v>45341</v>
      </c>
      <c r="D137" s="6" t="s">
        <v>637</v>
      </c>
      <c r="E137" s="13" t="s">
        <v>580</v>
      </c>
      <c r="F137" s="8" t="s">
        <v>594</v>
      </c>
      <c r="G137" s="5" t="s">
        <v>638</v>
      </c>
      <c r="H137" s="5" t="s">
        <v>638</v>
      </c>
      <c r="I137" s="9" t="s">
        <v>725</v>
      </c>
      <c r="J137" s="5" t="s">
        <v>730</v>
      </c>
      <c r="K137" s="20">
        <v>5</v>
      </c>
      <c r="L137" s="10">
        <f>K137*2</f>
        <v>10</v>
      </c>
      <c r="M137" s="11"/>
      <c r="N137" s="5" t="s">
        <v>727</v>
      </c>
      <c r="O137" s="12">
        <v>45870</v>
      </c>
      <c r="P137" s="12">
        <v>45870</v>
      </c>
      <c r="Q137" s="8"/>
      <c r="R137" s="8"/>
    </row>
    <row r="138" spans="1:18" x14ac:dyDescent="0.25">
      <c r="A138" s="17" t="s">
        <v>255</v>
      </c>
      <c r="B138" s="43" t="s">
        <v>256</v>
      </c>
      <c r="C138" s="14">
        <v>45447</v>
      </c>
      <c r="D138" s="14" t="s">
        <v>644</v>
      </c>
      <c r="E138" s="13" t="s">
        <v>580</v>
      </c>
      <c r="F138" s="13" t="s">
        <v>594</v>
      </c>
      <c r="G138" s="9" t="s">
        <v>645</v>
      </c>
      <c r="H138" s="9" t="s">
        <v>645</v>
      </c>
      <c r="I138" s="9" t="s">
        <v>725</v>
      </c>
      <c r="J138" s="5" t="s">
        <v>730</v>
      </c>
      <c r="K138" s="16">
        <v>5</v>
      </c>
      <c r="L138" s="10">
        <f>K138*2</f>
        <v>10</v>
      </c>
      <c r="M138" s="11"/>
      <c r="N138" s="5" t="s">
        <v>727</v>
      </c>
      <c r="O138" s="12">
        <v>45870</v>
      </c>
      <c r="P138" s="12">
        <v>45870</v>
      </c>
      <c r="Q138" s="8"/>
      <c r="R138" s="8"/>
    </row>
    <row r="139" spans="1:18" x14ac:dyDescent="0.25">
      <c r="A139" s="19" t="s">
        <v>529</v>
      </c>
      <c r="B139" s="5" t="s">
        <v>530</v>
      </c>
      <c r="C139" s="6" t="s">
        <v>697</v>
      </c>
      <c r="D139" s="5" t="s">
        <v>666</v>
      </c>
      <c r="E139" s="13" t="s">
        <v>580</v>
      </c>
      <c r="F139" s="8" t="s">
        <v>633</v>
      </c>
      <c r="G139" s="5" t="s">
        <v>665</v>
      </c>
      <c r="H139" s="5" t="s">
        <v>665</v>
      </c>
      <c r="I139" s="15" t="s">
        <v>740</v>
      </c>
      <c r="J139" s="15" t="s">
        <v>740</v>
      </c>
      <c r="K139" s="34">
        <v>0</v>
      </c>
      <c r="L139" s="10">
        <f>K139*2</f>
        <v>0</v>
      </c>
      <c r="M139" s="11"/>
      <c r="N139" s="5" t="s">
        <v>727</v>
      </c>
      <c r="O139" s="12">
        <v>45870</v>
      </c>
      <c r="P139" s="12">
        <v>45870</v>
      </c>
      <c r="Q139" s="8"/>
      <c r="R139" s="8"/>
    </row>
    <row r="140" spans="1:18" x14ac:dyDescent="0.25">
      <c r="A140" s="21" t="s">
        <v>367</v>
      </c>
      <c r="B140" s="9" t="s">
        <v>377</v>
      </c>
      <c r="C140" s="14">
        <v>45870</v>
      </c>
      <c r="D140" s="5" t="s">
        <v>661</v>
      </c>
      <c r="E140" s="5" t="s">
        <v>641</v>
      </c>
      <c r="F140" s="5" t="s">
        <v>642</v>
      </c>
      <c r="G140" s="5" t="s">
        <v>625</v>
      </c>
      <c r="H140" s="9" t="s">
        <v>861</v>
      </c>
      <c r="I140" s="9" t="s">
        <v>725</v>
      </c>
      <c r="J140" s="5" t="s">
        <v>730</v>
      </c>
      <c r="K140" s="20">
        <v>5</v>
      </c>
      <c r="L140" s="10">
        <f>K140*2</f>
        <v>10</v>
      </c>
      <c r="M140" s="11"/>
      <c r="N140" s="5" t="s">
        <v>727</v>
      </c>
      <c r="O140" s="21"/>
      <c r="P140" s="21"/>
      <c r="Q140" s="8"/>
      <c r="R140" s="8"/>
    </row>
    <row r="141" spans="1:18" x14ac:dyDescent="0.25">
      <c r="A141" s="5" t="s">
        <v>118</v>
      </c>
      <c r="B141" s="5" t="s">
        <v>119</v>
      </c>
      <c r="C141" s="6">
        <v>44571</v>
      </c>
      <c r="D141" s="5" t="s">
        <v>589</v>
      </c>
      <c r="E141" s="7" t="s">
        <v>592</v>
      </c>
      <c r="F141" s="5" t="s">
        <v>593</v>
      </c>
      <c r="G141" s="5" t="s">
        <v>847</v>
      </c>
      <c r="H141" s="5" t="s">
        <v>847</v>
      </c>
      <c r="I141" s="9" t="s">
        <v>725</v>
      </c>
      <c r="J141" s="5" t="s">
        <v>730</v>
      </c>
      <c r="K141" s="10">
        <v>5</v>
      </c>
      <c r="L141" s="10">
        <f>K141*2</f>
        <v>10</v>
      </c>
      <c r="M141" s="11"/>
      <c r="N141" s="5" t="s">
        <v>727</v>
      </c>
      <c r="O141" s="5"/>
      <c r="P141" s="5"/>
      <c r="Q141" s="8"/>
      <c r="R141" s="8"/>
    </row>
    <row r="142" spans="1:18" x14ac:dyDescent="0.25">
      <c r="A142" s="21" t="s">
        <v>174</v>
      </c>
      <c r="B142" s="9" t="s">
        <v>175</v>
      </c>
      <c r="C142" s="14">
        <v>45202</v>
      </c>
      <c r="D142" s="14" t="s">
        <v>584</v>
      </c>
      <c r="E142" s="14" t="s">
        <v>630</v>
      </c>
      <c r="F142" s="8" t="s">
        <v>631</v>
      </c>
      <c r="G142" s="9" t="s">
        <v>599</v>
      </c>
      <c r="H142" s="8" t="s">
        <v>599</v>
      </c>
      <c r="I142" s="9" t="s">
        <v>728</v>
      </c>
      <c r="J142" s="15" t="s">
        <v>728</v>
      </c>
      <c r="K142" s="11">
        <v>0</v>
      </c>
      <c r="L142" s="10">
        <f>K142*2</f>
        <v>0</v>
      </c>
      <c r="M142" s="11" t="s">
        <v>717</v>
      </c>
      <c r="N142" s="5" t="s">
        <v>717</v>
      </c>
      <c r="O142" s="12">
        <v>45870</v>
      </c>
      <c r="P142" s="12">
        <v>45870</v>
      </c>
      <c r="Q142" s="8"/>
      <c r="R142" s="8"/>
    </row>
    <row r="143" spans="1:18" x14ac:dyDescent="0.25">
      <c r="A143" s="21" t="s">
        <v>403</v>
      </c>
      <c r="B143" s="5" t="s">
        <v>404</v>
      </c>
      <c r="C143" s="6">
        <v>45888</v>
      </c>
      <c r="D143" s="5" t="s">
        <v>605</v>
      </c>
      <c r="E143" s="13" t="s">
        <v>580</v>
      </c>
      <c r="F143" s="8" t="s">
        <v>633</v>
      </c>
      <c r="G143" s="5" t="s">
        <v>606</v>
      </c>
      <c r="H143" s="5" t="s">
        <v>606</v>
      </c>
      <c r="I143" s="9" t="s">
        <v>725</v>
      </c>
      <c r="J143" s="44" t="s">
        <v>788</v>
      </c>
      <c r="K143" s="45">
        <f>5+5.65</f>
        <v>10.65</v>
      </c>
      <c r="L143" s="10">
        <f>K143*2</f>
        <v>21.3</v>
      </c>
      <c r="M143" s="46"/>
      <c r="N143" s="5" t="s">
        <v>727</v>
      </c>
      <c r="O143" s="6">
        <v>45901</v>
      </c>
      <c r="P143" s="6">
        <v>45901</v>
      </c>
      <c r="Q143" s="8"/>
      <c r="R143" s="8"/>
    </row>
    <row r="144" spans="1:18" x14ac:dyDescent="0.25">
      <c r="A144" s="17" t="s">
        <v>352</v>
      </c>
      <c r="B144" s="5" t="s">
        <v>353</v>
      </c>
      <c r="C144" s="6">
        <v>45860</v>
      </c>
      <c r="D144" s="5" t="s">
        <v>591</v>
      </c>
      <c r="E144" s="13" t="s">
        <v>580</v>
      </c>
      <c r="F144" s="8" t="s">
        <v>633</v>
      </c>
      <c r="G144" s="5" t="s">
        <v>588</v>
      </c>
      <c r="H144" s="5" t="s">
        <v>588</v>
      </c>
      <c r="I144" s="9" t="s">
        <v>725</v>
      </c>
      <c r="J144" s="5" t="s">
        <v>730</v>
      </c>
      <c r="K144" s="20">
        <v>5</v>
      </c>
      <c r="L144" s="10">
        <f>K144*2</f>
        <v>10</v>
      </c>
      <c r="M144" s="11"/>
      <c r="N144" s="5" t="s">
        <v>727</v>
      </c>
      <c r="O144" s="21" t="s">
        <v>825</v>
      </c>
      <c r="P144" s="21" t="s">
        <v>825</v>
      </c>
      <c r="Q144" s="8"/>
      <c r="R144" s="8"/>
    </row>
    <row r="145" spans="1:18" x14ac:dyDescent="0.25">
      <c r="A145" s="5" t="s">
        <v>76</v>
      </c>
      <c r="B145" s="5" t="s">
        <v>77</v>
      </c>
      <c r="C145" s="6">
        <v>43577</v>
      </c>
      <c r="D145" s="5" t="s">
        <v>589</v>
      </c>
      <c r="E145" s="7" t="s">
        <v>621</v>
      </c>
      <c r="F145" s="5" t="s">
        <v>622</v>
      </c>
      <c r="G145" s="5" t="s">
        <v>583</v>
      </c>
      <c r="H145" s="5" t="s">
        <v>847</v>
      </c>
      <c r="I145" s="9" t="s">
        <v>725</v>
      </c>
      <c r="J145" s="5" t="s">
        <v>749</v>
      </c>
      <c r="K145" s="10">
        <f>5.8+5.2</f>
        <v>11</v>
      </c>
      <c r="L145" s="10">
        <f>K145*2</f>
        <v>22</v>
      </c>
      <c r="M145" s="11"/>
      <c r="N145" s="5" t="s">
        <v>727</v>
      </c>
      <c r="O145" s="5"/>
      <c r="P145" s="5"/>
      <c r="Q145" s="8"/>
      <c r="R145" s="8"/>
    </row>
    <row r="146" spans="1:18" x14ac:dyDescent="0.25">
      <c r="A146" s="21" t="s">
        <v>194</v>
      </c>
      <c r="B146" s="5" t="s">
        <v>195</v>
      </c>
      <c r="C146" s="6">
        <v>45329</v>
      </c>
      <c r="D146" s="5" t="s">
        <v>602</v>
      </c>
      <c r="E146" s="9" t="s">
        <v>580</v>
      </c>
      <c r="F146" s="5" t="s">
        <v>603</v>
      </c>
      <c r="G146" s="5" t="s">
        <v>856</v>
      </c>
      <c r="H146" s="5" t="s">
        <v>856</v>
      </c>
      <c r="I146" s="9" t="s">
        <v>725</v>
      </c>
      <c r="J146" s="23" t="s">
        <v>770</v>
      </c>
      <c r="K146" s="27">
        <v>11</v>
      </c>
      <c r="L146" s="10">
        <f>K146*2</f>
        <v>22</v>
      </c>
      <c r="M146" s="26"/>
      <c r="N146" s="5" t="s">
        <v>727</v>
      </c>
      <c r="O146" s="14">
        <v>45870</v>
      </c>
      <c r="P146" s="12">
        <v>45870</v>
      </c>
      <c r="Q146" s="8"/>
      <c r="R146" s="8"/>
    </row>
    <row r="147" spans="1:18" x14ac:dyDescent="0.25">
      <c r="A147" s="5" t="s">
        <v>330</v>
      </c>
      <c r="B147" s="5" t="s">
        <v>331</v>
      </c>
      <c r="C147" s="6">
        <v>45790</v>
      </c>
      <c r="D147" s="5" t="s">
        <v>589</v>
      </c>
      <c r="E147" s="7" t="s">
        <v>580</v>
      </c>
      <c r="F147" s="5" t="s">
        <v>603</v>
      </c>
      <c r="G147" s="5" t="s">
        <v>847</v>
      </c>
      <c r="H147" s="5" t="s">
        <v>847</v>
      </c>
      <c r="I147" s="9" t="s">
        <v>725</v>
      </c>
      <c r="J147" s="5" t="s">
        <v>730</v>
      </c>
      <c r="K147" s="10">
        <v>5</v>
      </c>
      <c r="L147" s="10">
        <f>K147*2</f>
        <v>10</v>
      </c>
      <c r="M147" s="11"/>
      <c r="N147" s="5" t="s">
        <v>727</v>
      </c>
      <c r="O147" s="6">
        <v>45870</v>
      </c>
      <c r="P147" s="12">
        <v>45870</v>
      </c>
      <c r="Q147" s="8"/>
      <c r="R147" s="8"/>
    </row>
    <row r="148" spans="1:18" x14ac:dyDescent="0.25">
      <c r="A148" s="21" t="s">
        <v>454</v>
      </c>
      <c r="B148" s="5" t="s">
        <v>455</v>
      </c>
      <c r="C148" s="6">
        <v>45965</v>
      </c>
      <c r="D148" s="5" t="s">
        <v>602</v>
      </c>
      <c r="E148" s="14" t="s">
        <v>592</v>
      </c>
      <c r="F148" s="5" t="s">
        <v>593</v>
      </c>
      <c r="G148" s="5" t="s">
        <v>856</v>
      </c>
      <c r="H148" s="5" t="s">
        <v>856</v>
      </c>
      <c r="I148" s="9" t="s">
        <v>725</v>
      </c>
      <c r="J148" s="5" t="s">
        <v>796</v>
      </c>
      <c r="K148" s="10">
        <f>8.9</f>
        <v>8.9</v>
      </c>
      <c r="L148" s="10">
        <f>K148*2</f>
        <v>17.8</v>
      </c>
      <c r="M148" s="11"/>
      <c r="N148" s="5" t="s">
        <v>727</v>
      </c>
      <c r="O148" s="6">
        <v>45975</v>
      </c>
      <c r="P148" s="21" t="s">
        <v>832</v>
      </c>
      <c r="Q148" s="8"/>
      <c r="R148" s="47">
        <v>45986</v>
      </c>
    </row>
    <row r="149" spans="1:18" x14ac:dyDescent="0.25">
      <c r="A149" s="5" t="s">
        <v>160</v>
      </c>
      <c r="B149" s="5" t="s">
        <v>161</v>
      </c>
      <c r="C149" s="6">
        <v>45134</v>
      </c>
      <c r="D149" s="5" t="s">
        <v>596</v>
      </c>
      <c r="E149" s="7" t="s">
        <v>580</v>
      </c>
      <c r="F149" s="8" t="s">
        <v>594</v>
      </c>
      <c r="G149" s="5" t="s">
        <v>597</v>
      </c>
      <c r="H149" s="5" t="s">
        <v>597</v>
      </c>
      <c r="I149" s="9" t="s">
        <v>725</v>
      </c>
      <c r="J149" s="5" t="s">
        <v>763</v>
      </c>
      <c r="K149" s="10">
        <f>3.9+5</f>
        <v>8.9</v>
      </c>
      <c r="L149" s="10">
        <f>K149*2</f>
        <v>17.8</v>
      </c>
      <c r="M149" s="11"/>
      <c r="N149" s="5" t="s">
        <v>727</v>
      </c>
      <c r="O149" s="6">
        <v>45870</v>
      </c>
      <c r="P149" s="12">
        <v>45870</v>
      </c>
      <c r="Q149" s="8"/>
      <c r="R149" s="8"/>
    </row>
    <row r="150" spans="1:18" x14ac:dyDescent="0.25">
      <c r="A150" s="5" t="s">
        <v>408</v>
      </c>
      <c r="B150" s="5" t="s">
        <v>409</v>
      </c>
      <c r="C150" s="6">
        <v>45904</v>
      </c>
      <c r="D150" s="5" t="s">
        <v>596</v>
      </c>
      <c r="E150" s="7" t="s">
        <v>580</v>
      </c>
      <c r="F150" s="5" t="s">
        <v>603</v>
      </c>
      <c r="G150" s="5" t="s">
        <v>597</v>
      </c>
      <c r="H150" s="5" t="s">
        <v>597</v>
      </c>
      <c r="I150" s="9" t="s">
        <v>725</v>
      </c>
      <c r="J150" s="5" t="s">
        <v>730</v>
      </c>
      <c r="K150" s="10">
        <v>5</v>
      </c>
      <c r="L150" s="10">
        <f>K150*2</f>
        <v>10</v>
      </c>
      <c r="M150" s="11"/>
      <c r="N150" s="5" t="s">
        <v>727</v>
      </c>
      <c r="O150" s="12">
        <v>45916</v>
      </c>
      <c r="P150" s="12">
        <v>45916</v>
      </c>
      <c r="Q150" s="8"/>
      <c r="R150" s="8"/>
    </row>
    <row r="151" spans="1:18" x14ac:dyDescent="0.25">
      <c r="A151" s="17" t="s">
        <v>134</v>
      </c>
      <c r="B151" s="9" t="s">
        <v>135</v>
      </c>
      <c r="C151" s="14">
        <v>44750</v>
      </c>
      <c r="D151" s="14" t="s">
        <v>617</v>
      </c>
      <c r="E151" s="13" t="s">
        <v>580</v>
      </c>
      <c r="F151" s="8" t="s">
        <v>594</v>
      </c>
      <c r="G151" s="9" t="s">
        <v>618</v>
      </c>
      <c r="H151" s="9" t="s">
        <v>618</v>
      </c>
      <c r="I151" s="9" t="s">
        <v>725</v>
      </c>
      <c r="J151" s="9" t="s">
        <v>750</v>
      </c>
      <c r="K151" s="11">
        <f>5.95+5.95</f>
        <v>11.9</v>
      </c>
      <c r="L151" s="10">
        <f>K151*2</f>
        <v>23.8</v>
      </c>
      <c r="M151" s="11"/>
      <c r="N151" s="5" t="s">
        <v>727</v>
      </c>
      <c r="O151" s="6">
        <v>45870</v>
      </c>
      <c r="P151" s="12">
        <v>45870</v>
      </c>
      <c r="Q151" s="8"/>
      <c r="R151" s="8"/>
    </row>
    <row r="152" spans="1:18" x14ac:dyDescent="0.25">
      <c r="A152" s="21" t="s">
        <v>168</v>
      </c>
      <c r="B152" s="5" t="s">
        <v>169</v>
      </c>
      <c r="C152" s="6">
        <v>45166</v>
      </c>
      <c r="D152" s="5" t="s">
        <v>605</v>
      </c>
      <c r="E152" s="13" t="s">
        <v>580</v>
      </c>
      <c r="F152" s="5" t="s">
        <v>603</v>
      </c>
      <c r="G152" s="5" t="s">
        <v>606</v>
      </c>
      <c r="H152" s="5" t="s">
        <v>606</v>
      </c>
      <c r="I152" s="9" t="s">
        <v>725</v>
      </c>
      <c r="J152" s="5" t="s">
        <v>765</v>
      </c>
      <c r="K152" s="20">
        <f>6.75</f>
        <v>6.75</v>
      </c>
      <c r="L152" s="10">
        <f>K152*2</f>
        <v>13.5</v>
      </c>
      <c r="M152" s="11"/>
      <c r="N152" s="5" t="s">
        <v>727</v>
      </c>
      <c r="O152" s="6">
        <v>45870</v>
      </c>
      <c r="P152" s="12">
        <v>45870</v>
      </c>
      <c r="Q152" s="8"/>
      <c r="R152" s="8"/>
    </row>
    <row r="153" spans="1:18" x14ac:dyDescent="0.25">
      <c r="A153" s="5" t="s">
        <v>60</v>
      </c>
      <c r="B153" s="5" t="s">
        <v>61</v>
      </c>
      <c r="C153" s="6">
        <v>42906</v>
      </c>
      <c r="D153" s="5" t="s">
        <v>596</v>
      </c>
      <c r="E153" s="7" t="s">
        <v>580</v>
      </c>
      <c r="F153" s="8" t="s">
        <v>594</v>
      </c>
      <c r="G153" s="5" t="s">
        <v>597</v>
      </c>
      <c r="H153" s="5" t="s">
        <v>597</v>
      </c>
      <c r="I153" s="9" t="s">
        <v>725</v>
      </c>
      <c r="J153" s="5" t="s">
        <v>730</v>
      </c>
      <c r="K153" s="10">
        <v>5</v>
      </c>
      <c r="L153" s="10">
        <f>K153*2</f>
        <v>10</v>
      </c>
      <c r="M153" s="11"/>
      <c r="N153" s="5" t="s">
        <v>727</v>
      </c>
      <c r="O153" s="6">
        <v>45870</v>
      </c>
      <c r="P153" s="12">
        <v>45870</v>
      </c>
      <c r="Q153" s="8"/>
      <c r="R153" s="8"/>
    </row>
    <row r="154" spans="1:18" x14ac:dyDescent="0.25">
      <c r="A154" s="17" t="s">
        <v>86</v>
      </c>
      <c r="B154" s="9" t="s">
        <v>87</v>
      </c>
      <c r="C154" s="14">
        <v>43904</v>
      </c>
      <c r="D154" s="14" t="s">
        <v>591</v>
      </c>
      <c r="E154" s="9" t="s">
        <v>580</v>
      </c>
      <c r="F154" s="5" t="s">
        <v>594</v>
      </c>
      <c r="G154" s="9" t="s">
        <v>588</v>
      </c>
      <c r="H154" s="9" t="s">
        <v>588</v>
      </c>
      <c r="I154" s="9" t="s">
        <v>725</v>
      </c>
      <c r="J154" s="5" t="s">
        <v>730</v>
      </c>
      <c r="K154" s="20">
        <v>5</v>
      </c>
      <c r="L154" s="10">
        <f>K154*2</f>
        <v>10</v>
      </c>
      <c r="M154" s="11"/>
      <c r="N154" s="5" t="s">
        <v>727</v>
      </c>
      <c r="O154" s="12">
        <v>45870</v>
      </c>
      <c r="P154" s="12">
        <v>45870</v>
      </c>
      <c r="Q154" s="8"/>
      <c r="R154" s="8"/>
    </row>
    <row r="155" spans="1:18" x14ac:dyDescent="0.25">
      <c r="A155" s="21" t="s">
        <v>328</v>
      </c>
      <c r="B155" s="5" t="s">
        <v>329</v>
      </c>
      <c r="C155" s="6">
        <v>45783</v>
      </c>
      <c r="D155" s="5" t="s">
        <v>602</v>
      </c>
      <c r="E155" s="13" t="s">
        <v>580</v>
      </c>
      <c r="F155" s="5" t="s">
        <v>603</v>
      </c>
      <c r="G155" s="5" t="s">
        <v>856</v>
      </c>
      <c r="H155" s="5" t="s">
        <v>856</v>
      </c>
      <c r="I155" s="9" t="s">
        <v>725</v>
      </c>
      <c r="J155" s="5" t="s">
        <v>734</v>
      </c>
      <c r="K155" s="20">
        <f>3.9+5</f>
        <v>8.9</v>
      </c>
      <c r="L155" s="10">
        <f>K155*2</f>
        <v>17.8</v>
      </c>
      <c r="M155" s="11"/>
      <c r="N155" s="5" t="s">
        <v>727</v>
      </c>
      <c r="O155" s="14">
        <v>45870</v>
      </c>
      <c r="P155" s="12">
        <v>45870</v>
      </c>
      <c r="Q155" s="8"/>
      <c r="R155" s="47">
        <v>45799</v>
      </c>
    </row>
    <row r="156" spans="1:18" x14ac:dyDescent="0.25">
      <c r="A156" s="5" t="s">
        <v>104</v>
      </c>
      <c r="B156" s="5" t="s">
        <v>105</v>
      </c>
      <c r="C156" s="6">
        <v>44371</v>
      </c>
      <c r="D156" s="5" t="s">
        <v>589</v>
      </c>
      <c r="E156" s="7" t="s">
        <v>580</v>
      </c>
      <c r="F156" s="8" t="s">
        <v>594</v>
      </c>
      <c r="G156" s="5" t="s">
        <v>847</v>
      </c>
      <c r="H156" s="5" t="s">
        <v>847</v>
      </c>
      <c r="I156" s="9" t="s">
        <v>725</v>
      </c>
      <c r="J156" s="5" t="s">
        <v>752</v>
      </c>
      <c r="K156" s="10">
        <f>5+3.9</f>
        <v>8.9</v>
      </c>
      <c r="L156" s="10">
        <f>K156*2</f>
        <v>17.8</v>
      </c>
      <c r="M156" s="11"/>
      <c r="N156" s="5" t="s">
        <v>727</v>
      </c>
      <c r="O156" s="5"/>
      <c r="P156" s="5"/>
      <c r="Q156" s="8"/>
      <c r="R156" s="8"/>
    </row>
    <row r="157" spans="1:18" x14ac:dyDescent="0.25">
      <c r="A157" s="5" t="s">
        <v>170</v>
      </c>
      <c r="B157" s="5" t="s">
        <v>171</v>
      </c>
      <c r="C157" s="6">
        <v>45182</v>
      </c>
      <c r="D157" s="5" t="s">
        <v>589</v>
      </c>
      <c r="E157" s="7" t="s">
        <v>580</v>
      </c>
      <c r="F157" s="8" t="s">
        <v>594</v>
      </c>
      <c r="G157" s="5" t="s">
        <v>847</v>
      </c>
      <c r="H157" s="5" t="s">
        <v>847</v>
      </c>
      <c r="I157" s="9" t="s">
        <v>725</v>
      </c>
      <c r="J157" s="5" t="s">
        <v>752</v>
      </c>
      <c r="K157" s="10">
        <f>3.9+5</f>
        <v>8.9</v>
      </c>
      <c r="L157" s="10">
        <f>K157*2</f>
        <v>17.8</v>
      </c>
      <c r="M157" s="11"/>
      <c r="N157" s="5" t="s">
        <v>727</v>
      </c>
      <c r="O157" s="5"/>
      <c r="P157" s="5"/>
      <c r="Q157" s="8"/>
      <c r="R157" s="8"/>
    </row>
    <row r="158" spans="1:18" x14ac:dyDescent="0.25">
      <c r="A158" s="21" t="s">
        <v>172</v>
      </c>
      <c r="B158" s="5" t="s">
        <v>173</v>
      </c>
      <c r="C158" s="6">
        <v>45182</v>
      </c>
      <c r="D158" s="5" t="s">
        <v>602</v>
      </c>
      <c r="E158" s="13" t="s">
        <v>580</v>
      </c>
      <c r="F158" s="8" t="s">
        <v>594</v>
      </c>
      <c r="G158" s="5" t="s">
        <v>856</v>
      </c>
      <c r="H158" s="5" t="s">
        <v>856</v>
      </c>
      <c r="I158" s="9" t="s">
        <v>725</v>
      </c>
      <c r="J158" s="5" t="s">
        <v>766</v>
      </c>
      <c r="K158" s="20">
        <f>3.9+5.2</f>
        <v>9.1</v>
      </c>
      <c r="L158" s="10">
        <f>K158*2</f>
        <v>18.2</v>
      </c>
      <c r="M158" s="11"/>
      <c r="N158" s="5" t="s">
        <v>727</v>
      </c>
      <c r="O158" s="14">
        <v>45870</v>
      </c>
      <c r="P158" s="12">
        <v>45870</v>
      </c>
      <c r="Q158" s="8"/>
      <c r="R158" s="8"/>
    </row>
    <row r="159" spans="1:18" x14ac:dyDescent="0.25">
      <c r="A159" s="17" t="s">
        <v>52</v>
      </c>
      <c r="B159" s="9" t="s">
        <v>53</v>
      </c>
      <c r="C159" s="14">
        <v>42625</v>
      </c>
      <c r="D159" s="14" t="s">
        <v>591</v>
      </c>
      <c r="E159" s="13" t="s">
        <v>580</v>
      </c>
      <c r="F159" s="8" t="s">
        <v>594</v>
      </c>
      <c r="G159" s="9" t="s">
        <v>588</v>
      </c>
      <c r="H159" s="9" t="s">
        <v>588</v>
      </c>
      <c r="I159" s="9" t="s">
        <v>725</v>
      </c>
      <c r="J159" s="5" t="s">
        <v>730</v>
      </c>
      <c r="K159" s="20">
        <v>5</v>
      </c>
      <c r="L159" s="10">
        <f>K159*2</f>
        <v>10</v>
      </c>
      <c r="M159" s="11"/>
      <c r="N159" s="5" t="s">
        <v>727</v>
      </c>
      <c r="O159" s="21" t="s">
        <v>825</v>
      </c>
      <c r="P159" s="21" t="s">
        <v>825</v>
      </c>
      <c r="Q159" s="8"/>
      <c r="R159" s="8"/>
    </row>
    <row r="160" spans="1:18" x14ac:dyDescent="0.25">
      <c r="A160" s="5" t="s">
        <v>70</v>
      </c>
      <c r="B160" s="5" t="s">
        <v>71</v>
      </c>
      <c r="C160" s="6">
        <v>43442</v>
      </c>
      <c r="D160" s="5" t="s">
        <v>589</v>
      </c>
      <c r="E160" s="7" t="s">
        <v>580</v>
      </c>
      <c r="F160" s="8" t="s">
        <v>594</v>
      </c>
      <c r="G160" s="5" t="s">
        <v>847</v>
      </c>
      <c r="H160" s="5" t="s">
        <v>847</v>
      </c>
      <c r="I160" s="9" t="s">
        <v>725</v>
      </c>
      <c r="J160" s="5" t="s">
        <v>748</v>
      </c>
      <c r="K160" s="10">
        <v>5.2</v>
      </c>
      <c r="L160" s="10">
        <f>K160*2</f>
        <v>10.4</v>
      </c>
      <c r="M160" s="11"/>
      <c r="N160" s="5" t="s">
        <v>727</v>
      </c>
      <c r="O160" s="5"/>
      <c r="P160" s="5"/>
      <c r="Q160" s="8"/>
      <c r="R160" s="8"/>
    </row>
    <row r="161" spans="1:18" x14ac:dyDescent="0.25">
      <c r="A161" s="21" t="s">
        <v>367</v>
      </c>
      <c r="B161" s="5" t="s">
        <v>381</v>
      </c>
      <c r="C161" s="14">
        <v>45870</v>
      </c>
      <c r="D161" s="14" t="s">
        <v>584</v>
      </c>
      <c r="E161" s="14" t="s">
        <v>600</v>
      </c>
      <c r="F161" s="8" t="s">
        <v>601</v>
      </c>
      <c r="G161" s="5" t="s">
        <v>625</v>
      </c>
      <c r="H161" s="9" t="s">
        <v>861</v>
      </c>
      <c r="I161" s="9" t="s">
        <v>725</v>
      </c>
      <c r="J161" s="5" t="s">
        <v>730</v>
      </c>
      <c r="K161" s="20">
        <v>5</v>
      </c>
      <c r="L161" s="10">
        <f>K161*2</f>
        <v>10</v>
      </c>
      <c r="M161" s="11"/>
      <c r="N161" s="5" t="s">
        <v>727</v>
      </c>
      <c r="O161" s="9"/>
      <c r="P161" s="9"/>
      <c r="Q161" s="8"/>
      <c r="R161" s="8"/>
    </row>
    <row r="162" spans="1:18" x14ac:dyDescent="0.25">
      <c r="A162" s="21" t="s">
        <v>207</v>
      </c>
      <c r="B162" s="5" t="s">
        <v>208</v>
      </c>
      <c r="C162" s="6">
        <v>45341</v>
      </c>
      <c r="D162" s="6" t="s">
        <v>639</v>
      </c>
      <c r="E162" s="13" t="s">
        <v>580</v>
      </c>
      <c r="F162" s="5" t="s">
        <v>604</v>
      </c>
      <c r="G162" s="5" t="s">
        <v>640</v>
      </c>
      <c r="H162" s="5" t="s">
        <v>638</v>
      </c>
      <c r="I162" s="9" t="s">
        <v>725</v>
      </c>
      <c r="J162" s="5" t="s">
        <v>730</v>
      </c>
      <c r="K162" s="20">
        <v>5</v>
      </c>
      <c r="L162" s="10">
        <f>K162*2</f>
        <v>10</v>
      </c>
      <c r="M162" s="11"/>
      <c r="N162" s="5" t="s">
        <v>727</v>
      </c>
      <c r="O162" s="12">
        <v>45870</v>
      </c>
      <c r="P162" s="12">
        <v>45870</v>
      </c>
      <c r="Q162" s="8"/>
      <c r="R162" s="8"/>
    </row>
    <row r="163" spans="1:18" x14ac:dyDescent="0.25">
      <c r="A163" s="21" t="s">
        <v>178</v>
      </c>
      <c r="B163" s="5" t="s">
        <v>179</v>
      </c>
      <c r="C163" s="6">
        <v>45222</v>
      </c>
      <c r="D163" s="5" t="s">
        <v>602</v>
      </c>
      <c r="E163" s="13" t="s">
        <v>580</v>
      </c>
      <c r="F163" s="5" t="s">
        <v>632</v>
      </c>
      <c r="G163" s="5" t="s">
        <v>857</v>
      </c>
      <c r="H163" s="5" t="s">
        <v>856</v>
      </c>
      <c r="I163" s="9" t="s">
        <v>725</v>
      </c>
      <c r="J163" s="5" t="s">
        <v>767</v>
      </c>
      <c r="K163" s="20">
        <f>6.75</f>
        <v>6.75</v>
      </c>
      <c r="L163" s="10">
        <f>K163*2</f>
        <v>13.5</v>
      </c>
      <c r="M163" s="11"/>
      <c r="N163" s="5" t="s">
        <v>727</v>
      </c>
      <c r="O163" s="14">
        <v>45870</v>
      </c>
      <c r="P163" s="12">
        <v>45870</v>
      </c>
      <c r="Q163" s="8"/>
      <c r="R163" s="8"/>
    </row>
    <row r="164" spans="1:18" x14ac:dyDescent="0.25">
      <c r="A164" s="17" t="s">
        <v>28</v>
      </c>
      <c r="B164" s="9" t="s">
        <v>29</v>
      </c>
      <c r="C164" s="14">
        <v>40452</v>
      </c>
      <c r="D164" s="14" t="s">
        <v>591</v>
      </c>
      <c r="E164" s="13" t="s">
        <v>580</v>
      </c>
      <c r="F164" s="5" t="s">
        <v>604</v>
      </c>
      <c r="G164" s="9" t="s">
        <v>588</v>
      </c>
      <c r="H164" s="9" t="s">
        <v>588</v>
      </c>
      <c r="I164" s="9" t="s">
        <v>725</v>
      </c>
      <c r="J164" s="5" t="s">
        <v>842</v>
      </c>
      <c r="K164" s="16">
        <f>5.49+5.9</f>
        <v>11.39</v>
      </c>
      <c r="L164" s="10">
        <f>K164*2</f>
        <v>22.78</v>
      </c>
      <c r="M164" s="11"/>
      <c r="N164" s="5" t="s">
        <v>727</v>
      </c>
      <c r="O164" s="12">
        <v>45870</v>
      </c>
      <c r="P164" s="12">
        <v>45870</v>
      </c>
      <c r="Q164" s="8"/>
      <c r="R164" s="8"/>
    </row>
    <row r="165" spans="1:18" x14ac:dyDescent="0.25">
      <c r="A165" s="5" t="s">
        <v>100</v>
      </c>
      <c r="B165" s="5" t="s">
        <v>101</v>
      </c>
      <c r="C165" s="6">
        <v>44349</v>
      </c>
      <c r="D165" s="5" t="s">
        <v>589</v>
      </c>
      <c r="E165" s="7" t="s">
        <v>580</v>
      </c>
      <c r="F165" s="8" t="s">
        <v>594</v>
      </c>
      <c r="G165" s="5" t="s">
        <v>847</v>
      </c>
      <c r="H165" s="5" t="s">
        <v>847</v>
      </c>
      <c r="I165" s="9" t="s">
        <v>725</v>
      </c>
      <c r="J165" s="5" t="s">
        <v>730</v>
      </c>
      <c r="K165" s="10">
        <v>5</v>
      </c>
      <c r="L165" s="10">
        <f>K165*2</f>
        <v>10</v>
      </c>
      <c r="M165" s="11"/>
      <c r="N165" s="5" t="s">
        <v>727</v>
      </c>
      <c r="O165" s="5"/>
      <c r="P165" s="5"/>
      <c r="Q165" s="8"/>
      <c r="R165" s="8"/>
    </row>
    <row r="166" spans="1:18" x14ac:dyDescent="0.25">
      <c r="A166" s="17" t="s">
        <v>298</v>
      </c>
      <c r="B166" s="5" t="s">
        <v>101</v>
      </c>
      <c r="C166" s="6">
        <v>45674</v>
      </c>
      <c r="D166" s="6" t="s">
        <v>644</v>
      </c>
      <c r="E166" s="13" t="s">
        <v>580</v>
      </c>
      <c r="F166" s="8" t="s">
        <v>594</v>
      </c>
      <c r="G166" s="37" t="s">
        <v>645</v>
      </c>
      <c r="H166" s="37" t="s">
        <v>645</v>
      </c>
      <c r="I166" s="9" t="s">
        <v>725</v>
      </c>
      <c r="J166" s="5" t="s">
        <v>730</v>
      </c>
      <c r="K166" s="20">
        <v>5</v>
      </c>
      <c r="L166" s="10">
        <f>K166*2</f>
        <v>10</v>
      </c>
      <c r="M166" s="11"/>
      <c r="N166" s="5" t="s">
        <v>727</v>
      </c>
      <c r="O166" s="12">
        <v>45870</v>
      </c>
      <c r="P166" s="12">
        <v>45870</v>
      </c>
      <c r="Q166" s="8"/>
      <c r="R166" s="8"/>
    </row>
    <row r="167" spans="1:18" x14ac:dyDescent="0.25">
      <c r="A167" s="19" t="s">
        <v>537</v>
      </c>
      <c r="B167" s="5" t="s">
        <v>538</v>
      </c>
      <c r="C167" s="6" t="s">
        <v>701</v>
      </c>
      <c r="D167" s="5" t="s">
        <v>660</v>
      </c>
      <c r="E167" s="13" t="s">
        <v>580</v>
      </c>
      <c r="F167" s="8" t="s">
        <v>594</v>
      </c>
      <c r="G167" s="5" t="s">
        <v>583</v>
      </c>
      <c r="H167" s="5" t="s">
        <v>583</v>
      </c>
      <c r="I167" s="9" t="s">
        <v>725</v>
      </c>
      <c r="J167" s="9" t="s">
        <v>806</v>
      </c>
      <c r="K167" s="16">
        <f>5.8+5.2</f>
        <v>11</v>
      </c>
      <c r="L167" s="10">
        <f>K167*2</f>
        <v>22</v>
      </c>
      <c r="M167" s="11"/>
      <c r="N167" s="5" t="s">
        <v>727</v>
      </c>
      <c r="O167" s="12">
        <v>45870</v>
      </c>
      <c r="P167" s="12">
        <v>45870</v>
      </c>
      <c r="Q167" s="8"/>
      <c r="R167" s="8"/>
    </row>
    <row r="168" spans="1:18" x14ac:dyDescent="0.25">
      <c r="A168" s="5" t="s">
        <v>54</v>
      </c>
      <c r="B168" s="5" t="s">
        <v>55</v>
      </c>
      <c r="C168" s="6">
        <v>42775</v>
      </c>
      <c r="D168" s="5" t="s">
        <v>596</v>
      </c>
      <c r="E168" s="7" t="s">
        <v>580</v>
      </c>
      <c r="F168" s="8" t="s">
        <v>581</v>
      </c>
      <c r="G168" s="5" t="s">
        <v>597</v>
      </c>
      <c r="H168" s="5" t="s">
        <v>597</v>
      </c>
      <c r="I168" s="9" t="s">
        <v>725</v>
      </c>
      <c r="J168" s="5" t="s">
        <v>743</v>
      </c>
      <c r="K168" s="10">
        <f>5+3.9</f>
        <v>8.9</v>
      </c>
      <c r="L168" s="10">
        <f>K168*2</f>
        <v>17.8</v>
      </c>
      <c r="M168" s="11"/>
      <c r="N168" s="5" t="s">
        <v>727</v>
      </c>
      <c r="O168" s="6">
        <v>45870</v>
      </c>
      <c r="P168" s="12">
        <v>45870</v>
      </c>
      <c r="Q168" s="8"/>
      <c r="R168" s="8"/>
    </row>
    <row r="169" spans="1:18" x14ac:dyDescent="0.25">
      <c r="A169" s="21" t="s">
        <v>156</v>
      </c>
      <c r="B169" s="5" t="s">
        <v>224</v>
      </c>
      <c r="C169" s="6">
        <v>45348</v>
      </c>
      <c r="D169" s="6" t="s">
        <v>637</v>
      </c>
      <c r="E169" s="13" t="s">
        <v>580</v>
      </c>
      <c r="F169" s="5" t="s">
        <v>604</v>
      </c>
      <c r="G169" s="5" t="s">
        <v>638</v>
      </c>
      <c r="H169" s="5" t="s">
        <v>638</v>
      </c>
      <c r="I169" s="9" t="s">
        <v>725</v>
      </c>
      <c r="J169" s="5" t="s">
        <v>730</v>
      </c>
      <c r="K169" s="20">
        <v>5</v>
      </c>
      <c r="L169" s="10">
        <f>K169*2</f>
        <v>10</v>
      </c>
      <c r="M169" s="11"/>
      <c r="N169" s="5" t="s">
        <v>727</v>
      </c>
      <c r="O169" s="12">
        <v>45870</v>
      </c>
      <c r="P169" s="12">
        <v>45870</v>
      </c>
      <c r="Q169" s="8"/>
      <c r="R169" s="8"/>
    </row>
    <row r="170" spans="1:18" x14ac:dyDescent="0.25">
      <c r="A170" s="17" t="s">
        <v>323</v>
      </c>
      <c r="B170" s="22" t="s">
        <v>324</v>
      </c>
      <c r="C170" s="6">
        <v>45763</v>
      </c>
      <c r="D170" s="6" t="s">
        <v>591</v>
      </c>
      <c r="E170" s="13" t="s">
        <v>580</v>
      </c>
      <c r="F170" s="8" t="s">
        <v>594</v>
      </c>
      <c r="G170" s="5" t="s">
        <v>588</v>
      </c>
      <c r="H170" s="5" t="s">
        <v>588</v>
      </c>
      <c r="I170" s="9" t="s">
        <v>725</v>
      </c>
      <c r="J170" s="9" t="s">
        <v>779</v>
      </c>
      <c r="K170" s="16">
        <v>5.2</v>
      </c>
      <c r="L170" s="10">
        <f>K170*2</f>
        <v>10.4</v>
      </c>
      <c r="M170" s="11"/>
      <c r="N170" s="5" t="s">
        <v>727</v>
      </c>
      <c r="O170" s="12">
        <v>45870</v>
      </c>
      <c r="P170" s="12">
        <v>45870</v>
      </c>
      <c r="Q170" s="8"/>
      <c r="R170" s="8"/>
    </row>
    <row r="171" spans="1:18" x14ac:dyDescent="0.25">
      <c r="A171" s="32" t="s">
        <v>68</v>
      </c>
      <c r="B171" s="32" t="s">
        <v>69</v>
      </c>
      <c r="C171" s="33">
        <v>43437</v>
      </c>
      <c r="D171" s="32" t="s">
        <v>589</v>
      </c>
      <c r="E171" s="31" t="s">
        <v>580</v>
      </c>
      <c r="F171" s="32" t="s">
        <v>603</v>
      </c>
      <c r="G171" s="5" t="s">
        <v>847</v>
      </c>
      <c r="H171" s="5" t="s">
        <v>847</v>
      </c>
      <c r="I171" s="32" t="s">
        <v>740</v>
      </c>
      <c r="J171" s="32" t="s">
        <v>747</v>
      </c>
      <c r="K171" s="34">
        <v>0</v>
      </c>
      <c r="L171" s="10">
        <f>K171*2</f>
        <v>0</v>
      </c>
      <c r="M171" s="18"/>
      <c r="N171" s="5" t="s">
        <v>727</v>
      </c>
      <c r="O171" s="32"/>
      <c r="P171" s="32"/>
      <c r="Q171" s="8"/>
      <c r="R171" s="8"/>
    </row>
    <row r="172" spans="1:18" x14ac:dyDescent="0.25">
      <c r="A172" s="21" t="s">
        <v>156</v>
      </c>
      <c r="B172" s="5" t="s">
        <v>217</v>
      </c>
      <c r="C172" s="6">
        <v>45341</v>
      </c>
      <c r="D172" s="6" t="s">
        <v>639</v>
      </c>
      <c r="E172" s="14" t="s">
        <v>592</v>
      </c>
      <c r="F172" s="5" t="s">
        <v>593</v>
      </c>
      <c r="G172" s="5" t="s">
        <v>626</v>
      </c>
      <c r="H172" s="5" t="s">
        <v>626</v>
      </c>
      <c r="I172" s="9" t="s">
        <v>725</v>
      </c>
      <c r="J172" s="5" t="s">
        <v>730</v>
      </c>
      <c r="K172" s="20">
        <v>5</v>
      </c>
      <c r="L172" s="10">
        <f>K172*2</f>
        <v>10</v>
      </c>
      <c r="M172" s="11"/>
      <c r="N172" s="5" t="s">
        <v>727</v>
      </c>
      <c r="O172" s="12">
        <v>45870</v>
      </c>
      <c r="P172" s="12">
        <v>45870</v>
      </c>
      <c r="Q172" s="8"/>
      <c r="R172" s="8"/>
    </row>
    <row r="173" spans="1:18" x14ac:dyDescent="0.25">
      <c r="A173" s="21" t="s">
        <v>261</v>
      </c>
      <c r="B173" s="5" t="s">
        <v>262</v>
      </c>
      <c r="C173" s="6">
        <v>45463</v>
      </c>
      <c r="D173" s="6" t="s">
        <v>644</v>
      </c>
      <c r="E173" s="5" t="s">
        <v>641</v>
      </c>
      <c r="F173" s="5" t="s">
        <v>642</v>
      </c>
      <c r="G173" s="5" t="s">
        <v>645</v>
      </c>
      <c r="H173" s="5" t="s">
        <v>645</v>
      </c>
      <c r="I173" s="9" t="s">
        <v>725</v>
      </c>
      <c r="J173" s="5" t="s">
        <v>730</v>
      </c>
      <c r="K173" s="20">
        <v>5</v>
      </c>
      <c r="L173" s="10">
        <f>K173*2</f>
        <v>10</v>
      </c>
      <c r="M173" s="11"/>
      <c r="N173" s="5" t="s">
        <v>727</v>
      </c>
      <c r="O173" s="12">
        <v>45870</v>
      </c>
      <c r="P173" s="12">
        <v>45870</v>
      </c>
      <c r="Q173" s="8"/>
      <c r="R173" s="8"/>
    </row>
    <row r="174" spans="1:18" x14ac:dyDescent="0.25">
      <c r="A174" s="21" t="s">
        <v>449</v>
      </c>
      <c r="B174" s="5" t="s">
        <v>450</v>
      </c>
      <c r="C174" s="6">
        <v>45959</v>
      </c>
      <c r="D174" s="5" t="s">
        <v>602</v>
      </c>
      <c r="E174" s="14" t="s">
        <v>655</v>
      </c>
      <c r="F174" s="5" t="s">
        <v>656</v>
      </c>
      <c r="G174" s="5" t="s">
        <v>856</v>
      </c>
      <c r="H174" s="5" t="s">
        <v>856</v>
      </c>
      <c r="I174" s="9" t="s">
        <v>725</v>
      </c>
      <c r="J174" s="5" t="s">
        <v>730</v>
      </c>
      <c r="K174" s="10">
        <v>5</v>
      </c>
      <c r="L174" s="10">
        <f>K174*2</f>
        <v>10</v>
      </c>
      <c r="M174" s="11"/>
      <c r="N174" s="5" t="s">
        <v>727</v>
      </c>
      <c r="O174" s="6">
        <v>45975</v>
      </c>
      <c r="P174" s="21" t="s">
        <v>832</v>
      </c>
      <c r="Q174" s="8"/>
      <c r="R174" s="47">
        <v>45968</v>
      </c>
    </row>
    <row r="175" spans="1:18" x14ac:dyDescent="0.25">
      <c r="A175" s="5" t="s">
        <v>393</v>
      </c>
      <c r="B175" s="5" t="s">
        <v>394</v>
      </c>
      <c r="C175" s="6">
        <v>45874</v>
      </c>
      <c r="D175" s="5" t="s">
        <v>589</v>
      </c>
      <c r="E175" s="7" t="s">
        <v>592</v>
      </c>
      <c r="F175" s="5" t="s">
        <v>593</v>
      </c>
      <c r="G175" s="5" t="s">
        <v>847</v>
      </c>
      <c r="H175" s="5" t="s">
        <v>847</v>
      </c>
      <c r="I175" s="9" t="s">
        <v>725</v>
      </c>
      <c r="J175" s="5" t="s">
        <v>730</v>
      </c>
      <c r="K175" s="10">
        <v>5</v>
      </c>
      <c r="L175" s="10">
        <f>K175*2</f>
        <v>10</v>
      </c>
      <c r="M175" s="11"/>
      <c r="N175" s="5" t="s">
        <v>727</v>
      </c>
      <c r="O175" s="6">
        <v>45870</v>
      </c>
      <c r="P175" s="12">
        <v>45870</v>
      </c>
      <c r="Q175" s="8"/>
      <c r="R175" s="8"/>
    </row>
    <row r="176" spans="1:18" x14ac:dyDescent="0.25">
      <c r="A176" s="21" t="s">
        <v>420</v>
      </c>
      <c r="B176" s="5" t="s">
        <v>421</v>
      </c>
      <c r="C176" s="6">
        <v>45925</v>
      </c>
      <c r="D176" s="5" t="s">
        <v>607</v>
      </c>
      <c r="E176" s="14" t="s">
        <v>592</v>
      </c>
      <c r="F176" s="5" t="s">
        <v>593</v>
      </c>
      <c r="G176" s="9" t="s">
        <v>590</v>
      </c>
      <c r="H176" s="9" t="s">
        <v>590</v>
      </c>
      <c r="I176" s="9" t="s">
        <v>725</v>
      </c>
      <c r="J176" s="5" t="s">
        <v>730</v>
      </c>
      <c r="K176" s="16">
        <v>6.85</v>
      </c>
      <c r="L176" s="10">
        <f>K176*2</f>
        <v>13.7</v>
      </c>
      <c r="M176" s="16"/>
      <c r="N176" s="5" t="s">
        <v>727</v>
      </c>
      <c r="O176" s="6">
        <v>45930</v>
      </c>
      <c r="P176" s="6">
        <v>45930</v>
      </c>
      <c r="Q176" s="8"/>
      <c r="R176" s="8"/>
    </row>
    <row r="177" spans="1:18" x14ac:dyDescent="0.25">
      <c r="A177" s="21" t="s">
        <v>162</v>
      </c>
      <c r="B177" s="5" t="s">
        <v>223</v>
      </c>
      <c r="C177" s="6">
        <v>45344</v>
      </c>
      <c r="D177" s="6" t="s">
        <v>639</v>
      </c>
      <c r="E177" s="5" t="s">
        <v>641</v>
      </c>
      <c r="F177" s="5" t="s">
        <v>642</v>
      </c>
      <c r="G177" s="5" t="s">
        <v>626</v>
      </c>
      <c r="H177" s="5" t="s">
        <v>626</v>
      </c>
      <c r="I177" s="9" t="s">
        <v>725</v>
      </c>
      <c r="J177" s="5" t="s">
        <v>730</v>
      </c>
      <c r="K177" s="20">
        <v>5</v>
      </c>
      <c r="L177" s="10">
        <f>K177*2</f>
        <v>10</v>
      </c>
      <c r="M177" s="11"/>
      <c r="N177" s="5" t="s">
        <v>727</v>
      </c>
      <c r="O177" s="12">
        <v>45870</v>
      </c>
      <c r="P177" s="12">
        <v>45870</v>
      </c>
      <c r="Q177" s="8"/>
      <c r="R177" s="8"/>
    </row>
    <row r="178" spans="1:18" x14ac:dyDescent="0.25">
      <c r="A178" s="17" t="s">
        <v>316</v>
      </c>
      <c r="B178" s="5" t="s">
        <v>317</v>
      </c>
      <c r="C178" s="6">
        <v>45748</v>
      </c>
      <c r="D178" s="6" t="s">
        <v>637</v>
      </c>
      <c r="E178" s="13" t="s">
        <v>580</v>
      </c>
      <c r="F178" s="8" t="s">
        <v>633</v>
      </c>
      <c r="G178" s="5" t="s">
        <v>638</v>
      </c>
      <c r="H178" s="5" t="s">
        <v>638</v>
      </c>
      <c r="I178" s="9" t="s">
        <v>725</v>
      </c>
      <c r="J178" s="5" t="s">
        <v>730</v>
      </c>
      <c r="K178" s="20">
        <v>5</v>
      </c>
      <c r="L178" s="10">
        <f>K178*2</f>
        <v>10</v>
      </c>
      <c r="M178" s="11"/>
      <c r="N178" s="5" t="s">
        <v>727</v>
      </c>
      <c r="O178" s="12">
        <v>45870</v>
      </c>
      <c r="P178" s="12">
        <v>45870</v>
      </c>
      <c r="Q178" s="8"/>
      <c r="R178" s="8"/>
    </row>
    <row r="179" spans="1:18" x14ac:dyDescent="0.25">
      <c r="A179" s="17" t="s">
        <v>231</v>
      </c>
      <c r="B179" s="5" t="s">
        <v>293</v>
      </c>
      <c r="C179" s="6">
        <v>45652</v>
      </c>
      <c r="D179" s="6" t="s">
        <v>639</v>
      </c>
      <c r="E179" s="14" t="s">
        <v>592</v>
      </c>
      <c r="F179" s="5" t="s">
        <v>593</v>
      </c>
      <c r="G179" s="5" t="s">
        <v>626</v>
      </c>
      <c r="H179" s="5" t="s">
        <v>626</v>
      </c>
      <c r="I179" s="9" t="s">
        <v>725</v>
      </c>
      <c r="J179" s="5" t="s">
        <v>730</v>
      </c>
      <c r="K179" s="20">
        <v>5</v>
      </c>
      <c r="L179" s="10">
        <f>K179*2</f>
        <v>10</v>
      </c>
      <c r="M179" s="11"/>
      <c r="N179" s="5" t="s">
        <v>727</v>
      </c>
      <c r="O179" s="12">
        <v>45870</v>
      </c>
      <c r="P179" s="12">
        <v>45870</v>
      </c>
      <c r="Q179" s="8"/>
      <c r="R179" s="47">
        <v>45674</v>
      </c>
    </row>
    <row r="180" spans="1:18" x14ac:dyDescent="0.25">
      <c r="A180" s="32" t="s">
        <v>44</v>
      </c>
      <c r="B180" s="32" t="s">
        <v>45</v>
      </c>
      <c r="C180" s="33">
        <v>41970</v>
      </c>
      <c r="D180" s="32" t="s">
        <v>589</v>
      </c>
      <c r="E180" s="31" t="s">
        <v>580</v>
      </c>
      <c r="F180" s="32" t="s">
        <v>594</v>
      </c>
      <c r="G180" s="5" t="s">
        <v>847</v>
      </c>
      <c r="H180" s="5" t="s">
        <v>847</v>
      </c>
      <c r="I180" s="32" t="s">
        <v>740</v>
      </c>
      <c r="J180" s="32" t="s">
        <v>742</v>
      </c>
      <c r="K180" s="34">
        <v>0</v>
      </c>
      <c r="L180" s="10">
        <f>K180*2</f>
        <v>0</v>
      </c>
      <c r="M180" s="18"/>
      <c r="N180" s="5" t="s">
        <v>727</v>
      </c>
      <c r="O180" s="32"/>
      <c r="P180" s="32"/>
      <c r="Q180" s="8"/>
      <c r="R180" s="8"/>
    </row>
    <row r="181" spans="1:18" x14ac:dyDescent="0.25">
      <c r="A181" s="13" t="s">
        <v>499</v>
      </c>
      <c r="B181" s="5" t="s">
        <v>500</v>
      </c>
      <c r="C181" s="6" t="s">
        <v>680</v>
      </c>
      <c r="D181" s="14" t="s">
        <v>584</v>
      </c>
      <c r="E181" s="14" t="s">
        <v>600</v>
      </c>
      <c r="F181" s="5" t="s">
        <v>601</v>
      </c>
      <c r="G181" s="9" t="s">
        <v>590</v>
      </c>
      <c r="H181" s="9" t="s">
        <v>590</v>
      </c>
      <c r="I181" s="9" t="s">
        <v>725</v>
      </c>
      <c r="J181" s="9" t="s">
        <v>802</v>
      </c>
      <c r="K181" s="16">
        <v>10.199999999999999</v>
      </c>
      <c r="L181" s="10">
        <f>K181*2</f>
        <v>20.399999999999999</v>
      </c>
      <c r="M181" s="11"/>
      <c r="N181" s="5" t="s">
        <v>727</v>
      </c>
      <c r="O181" s="12">
        <v>45870</v>
      </c>
      <c r="P181" s="12">
        <v>45870</v>
      </c>
      <c r="Q181" s="8"/>
      <c r="R181" s="8"/>
    </row>
    <row r="182" spans="1:18" x14ac:dyDescent="0.25">
      <c r="A182" s="21" t="s">
        <v>367</v>
      </c>
      <c r="B182" s="5" t="s">
        <v>570</v>
      </c>
      <c r="C182" s="14">
        <v>45989</v>
      </c>
      <c r="D182" s="28" t="s">
        <v>637</v>
      </c>
      <c r="E182" s="9" t="s">
        <v>641</v>
      </c>
      <c r="F182" s="5" t="s">
        <v>718</v>
      </c>
      <c r="G182" s="5" t="s">
        <v>638</v>
      </c>
      <c r="H182" s="9" t="s">
        <v>638</v>
      </c>
      <c r="I182" s="9" t="s">
        <v>725</v>
      </c>
      <c r="J182" s="5" t="s">
        <v>730</v>
      </c>
      <c r="K182" s="10">
        <v>5</v>
      </c>
      <c r="L182" s="10">
        <f>K182*2</f>
        <v>10</v>
      </c>
      <c r="M182" s="11"/>
      <c r="N182" s="5" t="s">
        <v>727</v>
      </c>
      <c r="O182" s="21" t="s">
        <v>845</v>
      </c>
      <c r="P182" s="21" t="s">
        <v>845</v>
      </c>
      <c r="Q182" s="21"/>
      <c r="R182" s="21" t="s">
        <v>845</v>
      </c>
    </row>
    <row r="183" spans="1:18" x14ac:dyDescent="0.25">
      <c r="A183" s="13" t="s">
        <v>563</v>
      </c>
      <c r="B183" s="5" t="s">
        <v>564</v>
      </c>
      <c r="C183" s="6" t="s">
        <v>715</v>
      </c>
      <c r="D183" s="5" t="s">
        <v>607</v>
      </c>
      <c r="E183" s="13" t="s">
        <v>580</v>
      </c>
      <c r="F183" s="8" t="s">
        <v>633</v>
      </c>
      <c r="G183" s="9" t="s">
        <v>590</v>
      </c>
      <c r="H183" s="9" t="s">
        <v>590</v>
      </c>
      <c r="I183" s="9" t="s">
        <v>725</v>
      </c>
      <c r="J183" s="9" t="s">
        <v>822</v>
      </c>
      <c r="K183" s="20">
        <v>10.199999999999999</v>
      </c>
      <c r="L183" s="10">
        <f>K183*2</f>
        <v>20.399999999999999</v>
      </c>
      <c r="M183" s="11"/>
      <c r="N183" s="5" t="s">
        <v>727</v>
      </c>
      <c r="O183" s="12">
        <v>45870</v>
      </c>
      <c r="P183" s="12">
        <v>45870</v>
      </c>
      <c r="Q183" s="8"/>
      <c r="R183" s="8"/>
    </row>
    <row r="184" spans="1:18" x14ac:dyDescent="0.25">
      <c r="A184" s="21" t="s">
        <v>152</v>
      </c>
      <c r="B184" s="5" t="s">
        <v>153</v>
      </c>
      <c r="C184" s="6">
        <v>45055</v>
      </c>
      <c r="D184" s="5" t="s">
        <v>605</v>
      </c>
      <c r="E184" s="13" t="s">
        <v>580</v>
      </c>
      <c r="F184" s="5" t="s">
        <v>603</v>
      </c>
      <c r="G184" s="5" t="s">
        <v>606</v>
      </c>
      <c r="H184" s="5" t="s">
        <v>606</v>
      </c>
      <c r="I184" s="9" t="s">
        <v>725</v>
      </c>
      <c r="J184" s="5" t="s">
        <v>761</v>
      </c>
      <c r="K184" s="20">
        <f>5.65</f>
        <v>5.65</v>
      </c>
      <c r="L184" s="10">
        <f>K184*2</f>
        <v>11.3</v>
      </c>
      <c r="M184" s="11"/>
      <c r="N184" s="5" t="s">
        <v>727</v>
      </c>
      <c r="O184" s="6">
        <v>45870</v>
      </c>
      <c r="P184" s="12">
        <v>45870</v>
      </c>
      <c r="Q184" s="8"/>
      <c r="R184" s="8"/>
    </row>
    <row r="185" spans="1:18" x14ac:dyDescent="0.25">
      <c r="A185" s="13" t="s">
        <v>557</v>
      </c>
      <c r="B185" s="5" t="s">
        <v>558</v>
      </c>
      <c r="C185" s="6" t="s">
        <v>712</v>
      </c>
      <c r="D185" s="5" t="s">
        <v>607</v>
      </c>
      <c r="E185" s="13" t="s">
        <v>580</v>
      </c>
      <c r="F185" s="8" t="s">
        <v>633</v>
      </c>
      <c r="G185" s="9" t="s">
        <v>590</v>
      </c>
      <c r="H185" s="9" t="s">
        <v>590</v>
      </c>
      <c r="I185" s="9" t="s">
        <v>725</v>
      </c>
      <c r="J185" s="9" t="s">
        <v>777</v>
      </c>
      <c r="K185" s="16">
        <v>4.2</v>
      </c>
      <c r="L185" s="10">
        <f>K185*2</f>
        <v>8.4</v>
      </c>
      <c r="M185" s="11"/>
      <c r="N185" s="5" t="s">
        <v>727</v>
      </c>
      <c r="O185" s="12">
        <v>45870</v>
      </c>
      <c r="P185" s="12">
        <v>45870</v>
      </c>
      <c r="Q185" s="8"/>
      <c r="R185" s="8"/>
    </row>
    <row r="186" spans="1:18" x14ac:dyDescent="0.25">
      <c r="A186" s="21" t="s">
        <v>198</v>
      </c>
      <c r="B186" s="5" t="s">
        <v>211</v>
      </c>
      <c r="C186" s="6">
        <v>45341</v>
      </c>
      <c r="D186" s="6" t="s">
        <v>639</v>
      </c>
      <c r="E186" s="5" t="s">
        <v>641</v>
      </c>
      <c r="F186" s="5" t="s">
        <v>642</v>
      </c>
      <c r="G186" s="5" t="s">
        <v>626</v>
      </c>
      <c r="H186" s="5" t="s">
        <v>626</v>
      </c>
      <c r="I186" s="9" t="s">
        <v>725</v>
      </c>
      <c r="J186" s="5" t="s">
        <v>730</v>
      </c>
      <c r="K186" s="20">
        <v>5</v>
      </c>
      <c r="L186" s="10">
        <f>K186*2</f>
        <v>10</v>
      </c>
      <c r="M186" s="11"/>
      <c r="N186" s="5" t="s">
        <v>727</v>
      </c>
      <c r="O186" s="12">
        <v>45870</v>
      </c>
      <c r="P186" s="12">
        <v>45870</v>
      </c>
      <c r="Q186" s="8"/>
      <c r="R186" s="8"/>
    </row>
    <row r="187" spans="1:18" x14ac:dyDescent="0.25">
      <c r="A187" s="21" t="s">
        <v>395</v>
      </c>
      <c r="B187" s="9" t="s">
        <v>396</v>
      </c>
      <c r="C187" s="14">
        <v>45875</v>
      </c>
      <c r="D187" s="9" t="s">
        <v>591</v>
      </c>
      <c r="E187" s="9" t="s">
        <v>650</v>
      </c>
      <c r="F187" s="9" t="s">
        <v>651</v>
      </c>
      <c r="G187" s="9" t="s">
        <v>588</v>
      </c>
      <c r="H187" s="9" t="s">
        <v>588</v>
      </c>
      <c r="I187" s="9" t="s">
        <v>725</v>
      </c>
      <c r="J187" s="5" t="s">
        <v>730</v>
      </c>
      <c r="K187" s="20">
        <v>5</v>
      </c>
      <c r="L187" s="10">
        <f>K187*2</f>
        <v>10</v>
      </c>
      <c r="M187" s="11"/>
      <c r="N187" s="5" t="s">
        <v>727</v>
      </c>
      <c r="O187" s="21" t="s">
        <v>825</v>
      </c>
      <c r="P187" s="21" t="s">
        <v>825</v>
      </c>
      <c r="Q187" s="8"/>
      <c r="R187" s="8"/>
    </row>
    <row r="188" spans="1:18" x14ac:dyDescent="0.25">
      <c r="A188" s="21" t="s">
        <v>433</v>
      </c>
      <c r="B188" s="5" t="s">
        <v>434</v>
      </c>
      <c r="C188" s="6">
        <v>45938</v>
      </c>
      <c r="D188" s="5" t="s">
        <v>644</v>
      </c>
      <c r="E188" s="13" t="s">
        <v>580</v>
      </c>
      <c r="F188" s="5" t="s">
        <v>604</v>
      </c>
      <c r="G188" s="5" t="s">
        <v>645</v>
      </c>
      <c r="H188" s="5" t="s">
        <v>645</v>
      </c>
      <c r="I188" s="9" t="s">
        <v>725</v>
      </c>
      <c r="J188" s="5" t="s">
        <v>730</v>
      </c>
      <c r="K188" s="20">
        <v>5</v>
      </c>
      <c r="L188" s="10">
        <f>K188*2</f>
        <v>10</v>
      </c>
      <c r="M188" s="11"/>
      <c r="N188" s="5" t="s">
        <v>727</v>
      </c>
      <c r="O188" s="6">
        <v>45947</v>
      </c>
      <c r="P188" s="6">
        <v>45947</v>
      </c>
      <c r="Q188" s="8"/>
      <c r="R188" s="8"/>
    </row>
    <row r="189" spans="1:18" x14ac:dyDescent="0.25">
      <c r="A189" s="13" t="s">
        <v>487</v>
      </c>
      <c r="B189" s="5" t="s">
        <v>488</v>
      </c>
      <c r="C189" s="6" t="s">
        <v>675</v>
      </c>
      <c r="D189" s="5" t="s">
        <v>607</v>
      </c>
      <c r="E189" s="6" t="s">
        <v>615</v>
      </c>
      <c r="F189" s="5" t="s">
        <v>616</v>
      </c>
      <c r="G189" s="9" t="s">
        <v>590</v>
      </c>
      <c r="H189" s="9" t="s">
        <v>590</v>
      </c>
      <c r="I189" s="9" t="s">
        <v>725</v>
      </c>
      <c r="J189" s="9" t="s">
        <v>777</v>
      </c>
      <c r="K189" s="16">
        <v>4.95</v>
      </c>
      <c r="L189" s="10">
        <f>K189*2</f>
        <v>9.9</v>
      </c>
      <c r="M189" s="11"/>
      <c r="N189" s="5" t="s">
        <v>727</v>
      </c>
      <c r="O189" s="12">
        <v>45870</v>
      </c>
      <c r="P189" s="12">
        <v>45870</v>
      </c>
      <c r="Q189" s="8"/>
      <c r="R189" s="8"/>
    </row>
    <row r="190" spans="1:18" x14ac:dyDescent="0.25">
      <c r="A190" s="21" t="s">
        <v>429</v>
      </c>
      <c r="B190" s="5" t="s">
        <v>430</v>
      </c>
      <c r="C190" s="6">
        <v>45936</v>
      </c>
      <c r="D190" s="9" t="s">
        <v>591</v>
      </c>
      <c r="E190" s="9" t="s">
        <v>650</v>
      </c>
      <c r="F190" s="9" t="s">
        <v>651</v>
      </c>
      <c r="G190" s="9" t="s">
        <v>588</v>
      </c>
      <c r="H190" s="5" t="s">
        <v>588</v>
      </c>
      <c r="I190" s="9" t="s">
        <v>725</v>
      </c>
      <c r="J190" s="5" t="s">
        <v>730</v>
      </c>
      <c r="K190" s="16">
        <v>5</v>
      </c>
      <c r="L190" s="10">
        <f>K190*2</f>
        <v>10</v>
      </c>
      <c r="M190" s="11"/>
      <c r="N190" s="5" t="s">
        <v>727</v>
      </c>
      <c r="O190" s="6">
        <v>45933</v>
      </c>
      <c r="P190" s="6">
        <v>45933</v>
      </c>
      <c r="Q190" s="8"/>
      <c r="R190" s="8"/>
    </row>
    <row r="191" spans="1:18" x14ac:dyDescent="0.25">
      <c r="A191" s="17" t="s">
        <v>255</v>
      </c>
      <c r="B191" s="5" t="s">
        <v>300</v>
      </c>
      <c r="C191" s="6">
        <v>45686</v>
      </c>
      <c r="D191" s="8" t="s">
        <v>612</v>
      </c>
      <c r="E191" s="6" t="s">
        <v>627</v>
      </c>
      <c r="F191" s="9" t="s">
        <v>628</v>
      </c>
      <c r="G191" s="9" t="s">
        <v>599</v>
      </c>
      <c r="H191" s="8" t="s">
        <v>599</v>
      </c>
      <c r="I191" s="9" t="s">
        <v>725</v>
      </c>
      <c r="J191" s="5" t="s">
        <v>730</v>
      </c>
      <c r="K191" s="20">
        <v>5</v>
      </c>
      <c r="L191" s="10">
        <f>K191*2</f>
        <v>10</v>
      </c>
      <c r="M191" s="11" t="s">
        <v>727</v>
      </c>
      <c r="N191" s="5" t="s">
        <v>717</v>
      </c>
      <c r="O191" s="12">
        <v>45870</v>
      </c>
      <c r="P191" s="12">
        <v>45870</v>
      </c>
      <c r="Q191" s="8"/>
      <c r="R191" s="8"/>
    </row>
    <row r="192" spans="1:18" x14ac:dyDescent="0.25">
      <c r="A192" s="19" t="s">
        <v>507</v>
      </c>
      <c r="B192" s="5" t="s">
        <v>508</v>
      </c>
      <c r="C192" s="6" t="s">
        <v>684</v>
      </c>
      <c r="D192" s="14" t="s">
        <v>584</v>
      </c>
      <c r="E192" s="14" t="s">
        <v>600</v>
      </c>
      <c r="F192" s="8" t="s">
        <v>601</v>
      </c>
      <c r="G192" s="5" t="s">
        <v>583</v>
      </c>
      <c r="H192" s="5" t="s">
        <v>583</v>
      </c>
      <c r="I192" s="9" t="s">
        <v>725</v>
      </c>
      <c r="J192" s="9" t="s">
        <v>806</v>
      </c>
      <c r="K192" s="16">
        <f>5.8+5.2</f>
        <v>11</v>
      </c>
      <c r="L192" s="10">
        <f>K192*2</f>
        <v>22</v>
      </c>
      <c r="M192" s="11"/>
      <c r="N192" s="5" t="s">
        <v>727</v>
      </c>
      <c r="O192" s="12">
        <v>45870</v>
      </c>
      <c r="P192" s="12">
        <v>45870</v>
      </c>
      <c r="Q192" s="8"/>
      <c r="R192" s="8"/>
    </row>
    <row r="193" spans="1:18" x14ac:dyDescent="0.25">
      <c r="A193" s="21" t="s">
        <v>182</v>
      </c>
      <c r="B193" s="5" t="s">
        <v>183</v>
      </c>
      <c r="C193" s="6">
        <v>45237</v>
      </c>
      <c r="D193" s="5" t="s">
        <v>605</v>
      </c>
      <c r="E193" s="13" t="s">
        <v>580</v>
      </c>
      <c r="F193" s="5" t="s">
        <v>603</v>
      </c>
      <c r="G193" s="5" t="s">
        <v>625</v>
      </c>
      <c r="H193" s="5" t="s">
        <v>606</v>
      </c>
      <c r="I193" s="9" t="s">
        <v>725</v>
      </c>
      <c r="J193" s="5" t="s">
        <v>768</v>
      </c>
      <c r="K193" s="20">
        <f>3.9+5</f>
        <v>8.9</v>
      </c>
      <c r="L193" s="10">
        <f>K193*2</f>
        <v>17.8</v>
      </c>
      <c r="M193" s="11"/>
      <c r="N193" s="5" t="s">
        <v>727</v>
      </c>
      <c r="O193" s="6">
        <v>45870</v>
      </c>
      <c r="P193" s="12">
        <v>45870</v>
      </c>
      <c r="Q193" s="8"/>
      <c r="R193" s="8"/>
    </row>
    <row r="194" spans="1:18" x14ac:dyDescent="0.25">
      <c r="A194" s="17" t="s">
        <v>112</v>
      </c>
      <c r="B194" s="9" t="s">
        <v>113</v>
      </c>
      <c r="C194" s="14">
        <v>44393</v>
      </c>
      <c r="D194" s="14" t="s">
        <v>617</v>
      </c>
      <c r="E194" s="13" t="s">
        <v>580</v>
      </c>
      <c r="F194" s="8" t="s">
        <v>624</v>
      </c>
      <c r="G194" s="9" t="s">
        <v>618</v>
      </c>
      <c r="H194" s="9" t="s">
        <v>618</v>
      </c>
      <c r="I194" s="15" t="s">
        <v>740</v>
      </c>
      <c r="J194" s="15" t="s">
        <v>740</v>
      </c>
      <c r="K194" s="34">
        <v>0</v>
      </c>
      <c r="L194" s="10">
        <f>K194*2</f>
        <v>0</v>
      </c>
      <c r="M194" s="26"/>
      <c r="N194" s="5" t="s">
        <v>727</v>
      </c>
      <c r="O194" s="6">
        <v>45870</v>
      </c>
      <c r="P194" s="12">
        <v>45870</v>
      </c>
      <c r="Q194" s="8"/>
      <c r="R194" s="8"/>
    </row>
    <row r="195" spans="1:18" x14ac:dyDescent="0.25">
      <c r="A195" s="21" t="s">
        <v>367</v>
      </c>
      <c r="B195" s="9" t="s">
        <v>385</v>
      </c>
      <c r="C195" s="14">
        <v>45870</v>
      </c>
      <c r="D195" s="5" t="s">
        <v>661</v>
      </c>
      <c r="E195" s="9" t="s">
        <v>650</v>
      </c>
      <c r="F195" s="5" t="s">
        <v>651</v>
      </c>
      <c r="G195" s="5" t="s">
        <v>625</v>
      </c>
      <c r="H195" s="9" t="s">
        <v>861</v>
      </c>
      <c r="I195" s="9" t="s">
        <v>725</v>
      </c>
      <c r="J195" s="5" t="s">
        <v>730</v>
      </c>
      <c r="K195" s="20">
        <v>5</v>
      </c>
      <c r="L195" s="10">
        <f>K195*2</f>
        <v>10</v>
      </c>
      <c r="M195" s="11"/>
      <c r="N195" s="5" t="s">
        <v>727</v>
      </c>
      <c r="O195" s="21"/>
      <c r="P195" s="21"/>
      <c r="Q195" s="8"/>
      <c r="R195" s="8"/>
    </row>
    <row r="196" spans="1:18" x14ac:dyDescent="0.25">
      <c r="A196" s="5" t="s">
        <v>286</v>
      </c>
      <c r="B196" s="5" t="s">
        <v>287</v>
      </c>
      <c r="C196" s="6">
        <v>45627</v>
      </c>
      <c r="D196" s="5" t="s">
        <v>596</v>
      </c>
      <c r="E196" s="7" t="s">
        <v>580</v>
      </c>
      <c r="F196" s="8" t="s">
        <v>594</v>
      </c>
      <c r="G196" s="5" t="s">
        <v>597</v>
      </c>
      <c r="H196" s="5" t="s">
        <v>597</v>
      </c>
      <c r="I196" s="9" t="s">
        <v>725</v>
      </c>
      <c r="J196" s="5" t="s">
        <v>743</v>
      </c>
      <c r="K196" s="10">
        <f>5+3.9</f>
        <v>8.9</v>
      </c>
      <c r="L196" s="10">
        <f>K196*2</f>
        <v>17.8</v>
      </c>
      <c r="M196" s="11"/>
      <c r="N196" s="5" t="s">
        <v>727</v>
      </c>
      <c r="O196" s="6">
        <v>45870</v>
      </c>
      <c r="P196" s="12">
        <v>45870</v>
      </c>
      <c r="Q196" s="8"/>
      <c r="R196" s="8"/>
    </row>
    <row r="197" spans="1:18" x14ac:dyDescent="0.25">
      <c r="A197" s="5" t="s">
        <v>314</v>
      </c>
      <c r="B197" s="5" t="s">
        <v>315</v>
      </c>
      <c r="C197" s="6">
        <v>45748</v>
      </c>
      <c r="D197" s="5" t="s">
        <v>589</v>
      </c>
      <c r="E197" s="7" t="s">
        <v>580</v>
      </c>
      <c r="F197" s="8" t="s">
        <v>594</v>
      </c>
      <c r="G197" s="5" t="s">
        <v>847</v>
      </c>
      <c r="H197" s="5" t="s">
        <v>847</v>
      </c>
      <c r="I197" s="9" t="s">
        <v>725</v>
      </c>
      <c r="J197" s="5" t="s">
        <v>730</v>
      </c>
      <c r="K197" s="10">
        <v>5</v>
      </c>
      <c r="L197" s="10">
        <f>K197*2</f>
        <v>10</v>
      </c>
      <c r="M197" s="20"/>
      <c r="N197" s="5" t="s">
        <v>727</v>
      </c>
      <c r="O197" s="6">
        <v>45870</v>
      </c>
      <c r="P197" s="12">
        <v>45870</v>
      </c>
      <c r="Q197" s="8"/>
      <c r="R197" s="8"/>
    </row>
    <row r="198" spans="1:18" x14ac:dyDescent="0.25">
      <c r="A198" s="17" t="s">
        <v>412</v>
      </c>
      <c r="B198" s="5" t="s">
        <v>413</v>
      </c>
      <c r="C198" s="6">
        <v>45912</v>
      </c>
      <c r="D198" s="6" t="s">
        <v>639</v>
      </c>
      <c r="E198" s="13" t="s">
        <v>580</v>
      </c>
      <c r="F198" s="8" t="s">
        <v>594</v>
      </c>
      <c r="G198" s="5" t="s">
        <v>626</v>
      </c>
      <c r="H198" s="5" t="s">
        <v>626</v>
      </c>
      <c r="I198" s="9" t="s">
        <v>725</v>
      </c>
      <c r="J198" s="5" t="s">
        <v>730</v>
      </c>
      <c r="K198" s="20">
        <v>5</v>
      </c>
      <c r="L198" s="10">
        <f>K198*2</f>
        <v>10</v>
      </c>
      <c r="M198" s="11"/>
      <c r="N198" s="5" t="s">
        <v>727</v>
      </c>
      <c r="O198" s="14">
        <v>45916</v>
      </c>
      <c r="P198" s="14">
        <v>45916</v>
      </c>
      <c r="Q198" s="8"/>
      <c r="R198" s="8"/>
    </row>
    <row r="199" spans="1:18" x14ac:dyDescent="0.25">
      <c r="A199" s="19" t="s">
        <v>483</v>
      </c>
      <c r="B199" s="5" t="s">
        <v>484</v>
      </c>
      <c r="C199" s="6" t="s">
        <v>673</v>
      </c>
      <c r="D199" s="5" t="s">
        <v>666</v>
      </c>
      <c r="E199" s="6" t="s">
        <v>615</v>
      </c>
      <c r="F199" s="5" t="s">
        <v>616</v>
      </c>
      <c r="G199" s="5" t="s">
        <v>665</v>
      </c>
      <c r="H199" s="5" t="s">
        <v>665</v>
      </c>
      <c r="I199" s="9" t="s">
        <v>725</v>
      </c>
      <c r="J199" s="5" t="s">
        <v>804</v>
      </c>
      <c r="K199" s="20">
        <f>6.75</f>
        <v>6.75</v>
      </c>
      <c r="L199" s="10">
        <f>K199*2</f>
        <v>13.5</v>
      </c>
      <c r="M199" s="11"/>
      <c r="N199" s="5" t="s">
        <v>727</v>
      </c>
      <c r="O199" s="12">
        <v>45870</v>
      </c>
      <c r="P199" s="12">
        <v>45870</v>
      </c>
      <c r="Q199" s="8"/>
      <c r="R199" s="8"/>
    </row>
    <row r="200" spans="1:18" x14ac:dyDescent="0.25">
      <c r="A200" s="21" t="s">
        <v>215</v>
      </c>
      <c r="B200" s="5" t="s">
        <v>447</v>
      </c>
      <c r="C200" s="6">
        <v>45958</v>
      </c>
      <c r="D200" s="5" t="s">
        <v>661</v>
      </c>
      <c r="E200" s="13" t="s">
        <v>580</v>
      </c>
      <c r="F200" s="8" t="s">
        <v>633</v>
      </c>
      <c r="G200" s="5" t="s">
        <v>625</v>
      </c>
      <c r="H200" s="9" t="s">
        <v>861</v>
      </c>
      <c r="I200" s="15" t="s">
        <v>740</v>
      </c>
      <c r="J200" s="15" t="s">
        <v>740</v>
      </c>
      <c r="K200" s="34">
        <v>0</v>
      </c>
      <c r="L200" s="10">
        <f>K200*2</f>
        <v>0</v>
      </c>
      <c r="M200" s="11"/>
      <c r="N200" s="5" t="s">
        <v>727</v>
      </c>
      <c r="O200" s="21" t="s">
        <v>832</v>
      </c>
      <c r="P200" s="21" t="s">
        <v>832</v>
      </c>
      <c r="Q200" s="8"/>
      <c r="R200" s="6">
        <v>45993</v>
      </c>
    </row>
    <row r="201" spans="1:18" x14ac:dyDescent="0.25">
      <c r="A201" s="32" t="s">
        <v>513</v>
      </c>
      <c r="B201" s="32" t="s">
        <v>514</v>
      </c>
      <c r="C201" s="33" t="s">
        <v>687</v>
      </c>
      <c r="D201" s="32" t="s">
        <v>607</v>
      </c>
      <c r="E201" s="32" t="s">
        <v>580</v>
      </c>
      <c r="F201" s="32" t="s">
        <v>594</v>
      </c>
      <c r="G201" s="32" t="s">
        <v>590</v>
      </c>
      <c r="H201" s="32" t="s">
        <v>590</v>
      </c>
      <c r="I201" s="32" t="s">
        <v>740</v>
      </c>
      <c r="J201" s="32" t="s">
        <v>812</v>
      </c>
      <c r="K201" s="34">
        <v>0</v>
      </c>
      <c r="L201" s="10">
        <f>K201*2</f>
        <v>0</v>
      </c>
      <c r="M201" s="34"/>
      <c r="N201" s="5" t="s">
        <v>727</v>
      </c>
      <c r="O201" s="35">
        <v>45870</v>
      </c>
      <c r="P201" s="12">
        <v>45870</v>
      </c>
      <c r="Q201" s="8"/>
      <c r="R201" s="8"/>
    </row>
    <row r="202" spans="1:18" x14ac:dyDescent="0.25">
      <c r="A202" s="21" t="s">
        <v>162</v>
      </c>
      <c r="B202" s="5" t="s">
        <v>230</v>
      </c>
      <c r="C202" s="6">
        <v>45362</v>
      </c>
      <c r="D202" s="6" t="s">
        <v>644</v>
      </c>
      <c r="E202" s="13" t="s">
        <v>580</v>
      </c>
      <c r="F202" s="8" t="s">
        <v>594</v>
      </c>
      <c r="G202" s="5" t="s">
        <v>645</v>
      </c>
      <c r="H202" s="5" t="s">
        <v>645</v>
      </c>
      <c r="I202" s="9" t="s">
        <v>725</v>
      </c>
      <c r="J202" s="5" t="s">
        <v>730</v>
      </c>
      <c r="K202" s="20">
        <v>5</v>
      </c>
      <c r="L202" s="10">
        <f>K202*2</f>
        <v>10</v>
      </c>
      <c r="M202" s="11"/>
      <c r="N202" s="5" t="s">
        <v>727</v>
      </c>
      <c r="O202" s="12">
        <v>45870</v>
      </c>
      <c r="P202" s="12">
        <v>45870</v>
      </c>
      <c r="Q202" s="8"/>
      <c r="R202" s="8"/>
    </row>
    <row r="203" spans="1:18" x14ac:dyDescent="0.25">
      <c r="A203" s="21" t="s">
        <v>464</v>
      </c>
      <c r="B203" s="5" t="s">
        <v>465</v>
      </c>
      <c r="C203" s="6">
        <v>45973</v>
      </c>
      <c r="D203" s="5" t="s">
        <v>667</v>
      </c>
      <c r="E203" s="13" t="s">
        <v>580</v>
      </c>
      <c r="F203" s="8" t="s">
        <v>603</v>
      </c>
      <c r="G203" s="5" t="s">
        <v>606</v>
      </c>
      <c r="H203" s="5" t="s">
        <v>606</v>
      </c>
      <c r="I203" s="9" t="s">
        <v>725</v>
      </c>
      <c r="J203" s="5" t="s">
        <v>800</v>
      </c>
      <c r="K203" s="20">
        <v>5.5</v>
      </c>
      <c r="L203" s="10">
        <f>K203*2</f>
        <v>11</v>
      </c>
      <c r="M203" s="26"/>
      <c r="N203" s="5" t="s">
        <v>727</v>
      </c>
      <c r="O203" s="6">
        <v>45989</v>
      </c>
      <c r="P203" s="6">
        <v>45989</v>
      </c>
      <c r="Q203" s="8"/>
      <c r="R203" s="24">
        <v>45993</v>
      </c>
    </row>
    <row r="204" spans="1:18" x14ac:dyDescent="0.25">
      <c r="A204" s="17" t="s">
        <v>16</v>
      </c>
      <c r="B204" s="9" t="s">
        <v>17</v>
      </c>
      <c r="C204" s="14">
        <v>39601</v>
      </c>
      <c r="D204" s="14" t="s">
        <v>591</v>
      </c>
      <c r="E204" s="14" t="s">
        <v>592</v>
      </c>
      <c r="F204" s="5" t="s">
        <v>593</v>
      </c>
      <c r="G204" s="9" t="s">
        <v>588</v>
      </c>
      <c r="H204" s="9" t="s">
        <v>588</v>
      </c>
      <c r="I204" s="9" t="s">
        <v>725</v>
      </c>
      <c r="J204" s="15" t="s">
        <v>731</v>
      </c>
      <c r="K204" s="16">
        <v>5.49</v>
      </c>
      <c r="L204" s="10">
        <f>K204*2</f>
        <v>10.98</v>
      </c>
      <c r="M204" s="11"/>
      <c r="N204" s="5" t="s">
        <v>727</v>
      </c>
      <c r="O204" s="12">
        <v>45870</v>
      </c>
      <c r="P204" s="12">
        <v>45870</v>
      </c>
      <c r="Q204" s="8"/>
      <c r="R204" s="8"/>
    </row>
    <row r="205" spans="1:18" x14ac:dyDescent="0.25">
      <c r="A205" s="17" t="s">
        <v>50</v>
      </c>
      <c r="B205" s="5" t="s">
        <v>51</v>
      </c>
      <c r="C205" s="14">
        <v>42513</v>
      </c>
      <c r="D205" s="14" t="s">
        <v>591</v>
      </c>
      <c r="E205" s="14" t="s">
        <v>592</v>
      </c>
      <c r="F205" s="5" t="s">
        <v>593</v>
      </c>
      <c r="G205" s="9" t="s">
        <v>588</v>
      </c>
      <c r="H205" s="9" t="s">
        <v>588</v>
      </c>
      <c r="I205" s="9" t="s">
        <v>725</v>
      </c>
      <c r="J205" s="5" t="s">
        <v>730</v>
      </c>
      <c r="K205" s="20">
        <v>5</v>
      </c>
      <c r="L205" s="10">
        <f>K205*2</f>
        <v>10</v>
      </c>
      <c r="M205" s="11"/>
      <c r="N205" s="5" t="s">
        <v>727</v>
      </c>
      <c r="O205" s="12">
        <v>45870</v>
      </c>
      <c r="P205" s="12">
        <v>45870</v>
      </c>
      <c r="Q205" s="8"/>
      <c r="R205" s="8"/>
    </row>
    <row r="206" spans="1:18" x14ac:dyDescent="0.25">
      <c r="A206" s="21" t="s">
        <v>205</v>
      </c>
      <c r="B206" s="9" t="s">
        <v>273</v>
      </c>
      <c r="C206" s="6">
        <v>45582</v>
      </c>
      <c r="D206" s="6" t="s">
        <v>612</v>
      </c>
      <c r="E206" s="6" t="s">
        <v>627</v>
      </c>
      <c r="F206" s="9" t="s">
        <v>628</v>
      </c>
      <c r="G206" s="9" t="s">
        <v>599</v>
      </c>
      <c r="H206" s="8" t="s">
        <v>599</v>
      </c>
      <c r="I206" s="9" t="s">
        <v>725</v>
      </c>
      <c r="J206" s="5" t="s">
        <v>730</v>
      </c>
      <c r="K206" s="20">
        <v>5</v>
      </c>
      <c r="L206" s="10">
        <f>K206*2</f>
        <v>10</v>
      </c>
      <c r="M206" s="11" t="s">
        <v>727</v>
      </c>
      <c r="N206" s="5" t="s">
        <v>717</v>
      </c>
      <c r="O206" s="12">
        <v>45870</v>
      </c>
      <c r="P206" s="12">
        <v>45870</v>
      </c>
      <c r="Q206" s="8"/>
      <c r="R206" s="8"/>
    </row>
    <row r="207" spans="1:18" x14ac:dyDescent="0.25">
      <c r="A207" s="21" t="s">
        <v>122</v>
      </c>
      <c r="B207" s="5" t="s">
        <v>401</v>
      </c>
      <c r="C207" s="6">
        <v>45882</v>
      </c>
      <c r="D207" s="5" t="s">
        <v>660</v>
      </c>
      <c r="E207" s="14" t="s">
        <v>655</v>
      </c>
      <c r="F207" s="5" t="s">
        <v>656</v>
      </c>
      <c r="G207" s="5" t="s">
        <v>583</v>
      </c>
      <c r="H207" s="5" t="s">
        <v>583</v>
      </c>
      <c r="I207" s="9" t="s">
        <v>725</v>
      </c>
      <c r="J207" s="5" t="s">
        <v>786</v>
      </c>
      <c r="K207" s="10">
        <f>6.2</f>
        <v>6.2</v>
      </c>
      <c r="L207" s="10">
        <f>K207*2</f>
        <v>12.4</v>
      </c>
      <c r="M207" s="11"/>
      <c r="N207" s="5" t="s">
        <v>727</v>
      </c>
      <c r="O207" s="21" t="s">
        <v>825</v>
      </c>
      <c r="P207" s="21" t="s">
        <v>825</v>
      </c>
      <c r="Q207" s="8"/>
      <c r="R207" s="47">
        <v>46006</v>
      </c>
    </row>
    <row r="208" spans="1:18" x14ac:dyDescent="0.25">
      <c r="A208" s="21" t="s">
        <v>198</v>
      </c>
      <c r="B208" s="5" t="s">
        <v>239</v>
      </c>
      <c r="C208" s="6">
        <v>45374</v>
      </c>
      <c r="D208" s="6" t="s">
        <v>644</v>
      </c>
      <c r="E208" s="5" t="s">
        <v>641</v>
      </c>
      <c r="F208" s="5" t="s">
        <v>642</v>
      </c>
      <c r="G208" s="5" t="s">
        <v>645</v>
      </c>
      <c r="H208" s="5" t="s">
        <v>645</v>
      </c>
      <c r="I208" s="15" t="s">
        <v>740</v>
      </c>
      <c r="J208" s="15" t="s">
        <v>740</v>
      </c>
      <c r="K208" s="34">
        <v>0</v>
      </c>
      <c r="L208" s="10">
        <f>K208*2</f>
        <v>0</v>
      </c>
      <c r="M208" s="11"/>
      <c r="N208" s="5" t="s">
        <v>727</v>
      </c>
      <c r="O208" s="12">
        <v>45870</v>
      </c>
      <c r="P208" s="12">
        <v>45870</v>
      </c>
      <c r="Q208" s="8"/>
      <c r="R208" s="8"/>
    </row>
    <row r="209" spans="1:18" x14ac:dyDescent="0.25">
      <c r="A209" s="21" t="s">
        <v>202</v>
      </c>
      <c r="B209" s="5" t="s">
        <v>203</v>
      </c>
      <c r="C209" s="6">
        <v>45341</v>
      </c>
      <c r="D209" s="6" t="s">
        <v>637</v>
      </c>
      <c r="E209" s="13" t="s">
        <v>580</v>
      </c>
      <c r="F209" s="8" t="s">
        <v>594</v>
      </c>
      <c r="G209" s="5" t="s">
        <v>638</v>
      </c>
      <c r="H209" s="5" t="s">
        <v>638</v>
      </c>
      <c r="I209" s="9" t="s">
        <v>725</v>
      </c>
      <c r="J209" s="5" t="s">
        <v>730</v>
      </c>
      <c r="K209" s="20">
        <v>5</v>
      </c>
      <c r="L209" s="10">
        <f>K209*2</f>
        <v>10</v>
      </c>
      <c r="M209" s="11"/>
      <c r="N209" s="5" t="s">
        <v>727</v>
      </c>
      <c r="O209" s="12">
        <v>45870</v>
      </c>
      <c r="P209" s="12">
        <v>45870</v>
      </c>
      <c r="Q209" s="8"/>
      <c r="R209" s="8"/>
    </row>
    <row r="210" spans="1:18" x14ac:dyDescent="0.25">
      <c r="A210" s="21" t="s">
        <v>367</v>
      </c>
      <c r="B210" s="9" t="s">
        <v>374</v>
      </c>
      <c r="C210" s="14">
        <v>45870</v>
      </c>
      <c r="D210" s="5" t="s">
        <v>661</v>
      </c>
      <c r="E210" s="13" t="s">
        <v>580</v>
      </c>
      <c r="F210" s="5" t="s">
        <v>604</v>
      </c>
      <c r="G210" s="5" t="s">
        <v>625</v>
      </c>
      <c r="H210" s="9" t="s">
        <v>861</v>
      </c>
      <c r="I210" s="15" t="s">
        <v>740</v>
      </c>
      <c r="J210" s="15" t="s">
        <v>740</v>
      </c>
      <c r="K210" s="34">
        <v>0</v>
      </c>
      <c r="L210" s="10">
        <f>K210*2</f>
        <v>0</v>
      </c>
      <c r="M210" s="11"/>
      <c r="N210" s="5" t="s">
        <v>727</v>
      </c>
      <c r="O210" s="21"/>
      <c r="P210" s="21"/>
      <c r="Q210" s="8"/>
      <c r="R210" s="8"/>
    </row>
    <row r="211" spans="1:18" x14ac:dyDescent="0.25">
      <c r="A211" s="21" t="s">
        <v>367</v>
      </c>
      <c r="B211" s="9" t="s">
        <v>375</v>
      </c>
      <c r="C211" s="14">
        <v>45870</v>
      </c>
      <c r="D211" s="5" t="s">
        <v>661</v>
      </c>
      <c r="E211" s="13" t="s">
        <v>580</v>
      </c>
      <c r="F211" s="5" t="s">
        <v>604</v>
      </c>
      <c r="G211" s="5" t="s">
        <v>625</v>
      </c>
      <c r="H211" s="9" t="s">
        <v>861</v>
      </c>
      <c r="I211" s="15" t="s">
        <v>740</v>
      </c>
      <c r="J211" s="15" t="s">
        <v>740</v>
      </c>
      <c r="K211" s="34">
        <v>0</v>
      </c>
      <c r="L211" s="10">
        <f>K211*2</f>
        <v>0</v>
      </c>
      <c r="M211" s="11"/>
      <c r="N211" s="5" t="s">
        <v>727</v>
      </c>
      <c r="O211" s="21"/>
      <c r="P211" s="21"/>
      <c r="Q211" s="8"/>
      <c r="R211" s="8"/>
    </row>
    <row r="212" spans="1:18" x14ac:dyDescent="0.25">
      <c r="A212" s="17" t="s">
        <v>356</v>
      </c>
      <c r="B212" s="9" t="s">
        <v>357</v>
      </c>
      <c r="C212" s="14">
        <v>45861</v>
      </c>
      <c r="D212" s="14" t="s">
        <v>617</v>
      </c>
      <c r="E212" s="13" t="s">
        <v>580</v>
      </c>
      <c r="F212" s="8" t="s">
        <v>603</v>
      </c>
      <c r="G212" s="9" t="s">
        <v>618</v>
      </c>
      <c r="H212" s="9" t="s">
        <v>618</v>
      </c>
      <c r="I212" s="9" t="s">
        <v>725</v>
      </c>
      <c r="J212" s="9" t="s">
        <v>750</v>
      </c>
      <c r="K212" s="11">
        <f>5.95+5.95</f>
        <v>11.9</v>
      </c>
      <c r="L212" s="10">
        <f>K212*2</f>
        <v>23.8</v>
      </c>
      <c r="M212" s="11"/>
      <c r="N212" s="5" t="s">
        <v>727</v>
      </c>
      <c r="O212" s="6">
        <v>45870</v>
      </c>
      <c r="P212" s="12">
        <v>45870</v>
      </c>
      <c r="Q212" s="8"/>
      <c r="R212" s="8"/>
    </row>
    <row r="213" spans="1:18" x14ac:dyDescent="0.25">
      <c r="A213" s="19" t="s">
        <v>543</v>
      </c>
      <c r="B213" s="5" t="s">
        <v>544</v>
      </c>
      <c r="C213" s="6" t="s">
        <v>704</v>
      </c>
      <c r="D213" s="5" t="s">
        <v>666</v>
      </c>
      <c r="E213" s="13" t="s">
        <v>580</v>
      </c>
      <c r="F213" s="5" t="s">
        <v>604</v>
      </c>
      <c r="G213" s="5" t="s">
        <v>665</v>
      </c>
      <c r="H213" s="5" t="s">
        <v>665</v>
      </c>
      <c r="I213" s="9" t="s">
        <v>725</v>
      </c>
      <c r="J213" s="5" t="s">
        <v>816</v>
      </c>
      <c r="K213" s="20">
        <f>5.8</f>
        <v>5.8</v>
      </c>
      <c r="L213" s="10">
        <f>K213*2</f>
        <v>11.6</v>
      </c>
      <c r="M213" s="11"/>
      <c r="N213" s="5" t="s">
        <v>727</v>
      </c>
      <c r="O213" s="12">
        <v>45870</v>
      </c>
      <c r="P213" s="12">
        <v>45870</v>
      </c>
      <c r="Q213" s="8"/>
      <c r="R213" s="8"/>
    </row>
    <row r="214" spans="1:18" x14ac:dyDescent="0.25">
      <c r="A214" s="5" t="s">
        <v>387</v>
      </c>
      <c r="B214" s="5" t="s">
        <v>388</v>
      </c>
      <c r="C214" s="6">
        <v>45874</v>
      </c>
      <c r="D214" s="5" t="s">
        <v>589</v>
      </c>
      <c r="E214" s="13" t="s">
        <v>580</v>
      </c>
      <c r="F214" s="8" t="s">
        <v>633</v>
      </c>
      <c r="G214" s="5" t="s">
        <v>847</v>
      </c>
      <c r="H214" s="5" t="s">
        <v>847</v>
      </c>
      <c r="I214" s="9" t="s">
        <v>725</v>
      </c>
      <c r="J214" s="5" t="s">
        <v>784</v>
      </c>
      <c r="K214" s="10">
        <f>5.5+5.2</f>
        <v>10.7</v>
      </c>
      <c r="L214" s="10">
        <f>K214*2</f>
        <v>21.4</v>
      </c>
      <c r="M214" s="20"/>
      <c r="N214" s="5" t="s">
        <v>727</v>
      </c>
      <c r="O214" s="6">
        <v>45870</v>
      </c>
      <c r="P214" s="12">
        <v>45870</v>
      </c>
      <c r="Q214" s="8"/>
      <c r="R214" s="8"/>
    </row>
    <row r="215" spans="1:18" x14ac:dyDescent="0.25">
      <c r="A215" s="21" t="s">
        <v>367</v>
      </c>
      <c r="B215" s="5" t="s">
        <v>386</v>
      </c>
      <c r="C215" s="14">
        <v>45870</v>
      </c>
      <c r="D215" s="5" t="s">
        <v>661</v>
      </c>
      <c r="E215" s="13" t="s">
        <v>580</v>
      </c>
      <c r="F215" s="5" t="s">
        <v>620</v>
      </c>
      <c r="G215" s="5" t="s">
        <v>625</v>
      </c>
      <c r="H215" s="9" t="s">
        <v>861</v>
      </c>
      <c r="I215" s="15" t="s">
        <v>740</v>
      </c>
      <c r="J215" s="15" t="s">
        <v>740</v>
      </c>
      <c r="K215" s="34">
        <v>0</v>
      </c>
      <c r="L215" s="10">
        <f>K215*2</f>
        <v>0</v>
      </c>
      <c r="M215" s="11"/>
      <c r="N215" s="5" t="s">
        <v>727</v>
      </c>
      <c r="O215" s="21"/>
      <c r="P215" s="21"/>
      <c r="Q215" s="8"/>
      <c r="R215" s="8"/>
    </row>
    <row r="216" spans="1:18" x14ac:dyDescent="0.25">
      <c r="A216" s="19" t="s">
        <v>525</v>
      </c>
      <c r="B216" s="5" t="s">
        <v>526</v>
      </c>
      <c r="C216" s="6" t="s">
        <v>693</v>
      </c>
      <c r="D216" s="5" t="s">
        <v>666</v>
      </c>
      <c r="E216" s="7" t="s">
        <v>694</v>
      </c>
      <c r="F216" s="8" t="s">
        <v>695</v>
      </c>
      <c r="G216" s="5" t="s">
        <v>665</v>
      </c>
      <c r="H216" s="5" t="s">
        <v>665</v>
      </c>
      <c r="I216" s="9" t="s">
        <v>725</v>
      </c>
      <c r="J216" s="9" t="s">
        <v>814</v>
      </c>
      <c r="K216" s="16">
        <f>5.8+6.1</f>
        <v>11.899999999999999</v>
      </c>
      <c r="L216" s="10">
        <f>K216*2</f>
        <v>23.799999999999997</v>
      </c>
      <c r="M216" s="11"/>
      <c r="N216" s="5" t="s">
        <v>727</v>
      </c>
      <c r="O216" s="12">
        <v>45870</v>
      </c>
      <c r="P216" s="12">
        <v>45870</v>
      </c>
      <c r="Q216" s="8"/>
      <c r="R216" s="8"/>
    </row>
    <row r="217" spans="1:18" x14ac:dyDescent="0.25">
      <c r="A217" s="21" t="s">
        <v>196</v>
      </c>
      <c r="B217" s="5" t="s">
        <v>197</v>
      </c>
      <c r="C217" s="6">
        <v>45330</v>
      </c>
      <c r="D217" s="5" t="s">
        <v>602</v>
      </c>
      <c r="E217" s="13" t="s">
        <v>580</v>
      </c>
      <c r="F217" s="8" t="s">
        <v>633</v>
      </c>
      <c r="G217" s="5" t="s">
        <v>856</v>
      </c>
      <c r="H217" s="5" t="s">
        <v>856</v>
      </c>
      <c r="I217" s="9" t="s">
        <v>725</v>
      </c>
      <c r="J217" s="5" t="s">
        <v>730</v>
      </c>
      <c r="K217" s="20">
        <v>5</v>
      </c>
      <c r="L217" s="10">
        <f>K217*2</f>
        <v>10</v>
      </c>
      <c r="M217" s="11"/>
      <c r="N217" s="5" t="s">
        <v>727</v>
      </c>
      <c r="O217" s="14">
        <v>45870</v>
      </c>
      <c r="P217" s="12">
        <v>45870</v>
      </c>
      <c r="Q217" s="8"/>
      <c r="R217" s="8"/>
    </row>
    <row r="218" spans="1:18" x14ac:dyDescent="0.25">
      <c r="A218" s="21" t="s">
        <v>367</v>
      </c>
      <c r="B218" s="5" t="s">
        <v>569</v>
      </c>
      <c r="C218" s="14">
        <v>45989</v>
      </c>
      <c r="D218" s="5" t="s">
        <v>661</v>
      </c>
      <c r="E218" s="13" t="s">
        <v>580</v>
      </c>
      <c r="F218" s="8" t="s">
        <v>633</v>
      </c>
      <c r="G218" s="5" t="s">
        <v>625</v>
      </c>
      <c r="H218" s="9" t="s">
        <v>861</v>
      </c>
      <c r="I218" s="9" t="s">
        <v>725</v>
      </c>
      <c r="J218" s="5" t="s">
        <v>730</v>
      </c>
      <c r="K218" s="20">
        <v>5</v>
      </c>
      <c r="L218" s="10">
        <f>K218*2</f>
        <v>10</v>
      </c>
      <c r="M218" s="26"/>
      <c r="N218" s="5" t="s">
        <v>727</v>
      </c>
      <c r="O218" s="6">
        <v>46000</v>
      </c>
      <c r="P218" s="6">
        <v>46000</v>
      </c>
      <c r="Q218" s="8"/>
      <c r="R218" s="6">
        <v>46000</v>
      </c>
    </row>
    <row r="219" spans="1:18" x14ac:dyDescent="0.25">
      <c r="A219" s="17" t="s">
        <v>280</v>
      </c>
      <c r="B219" s="9" t="s">
        <v>281</v>
      </c>
      <c r="C219" s="14">
        <v>45609</v>
      </c>
      <c r="D219" s="14" t="s">
        <v>617</v>
      </c>
      <c r="E219" s="13" t="s">
        <v>580</v>
      </c>
      <c r="F219" s="8" t="s">
        <v>633</v>
      </c>
      <c r="G219" s="9" t="s">
        <v>618</v>
      </c>
      <c r="H219" s="9" t="s">
        <v>618</v>
      </c>
      <c r="I219" s="9" t="s">
        <v>725</v>
      </c>
      <c r="J219" s="5" t="s">
        <v>745</v>
      </c>
      <c r="K219" s="10">
        <v>5.95</v>
      </c>
      <c r="L219" s="10">
        <f>K219*2</f>
        <v>11.9</v>
      </c>
      <c r="M219" s="11"/>
      <c r="N219" s="5" t="s">
        <v>727</v>
      </c>
      <c r="O219" s="6">
        <v>45870</v>
      </c>
      <c r="P219" s="12">
        <v>45870</v>
      </c>
      <c r="Q219" s="8"/>
      <c r="R219" s="8"/>
    </row>
    <row r="220" spans="1:18" x14ac:dyDescent="0.25">
      <c r="A220" s="17" t="s">
        <v>42</v>
      </c>
      <c r="B220" s="9" t="s">
        <v>43</v>
      </c>
      <c r="C220" s="14">
        <v>41969</v>
      </c>
      <c r="D220" s="14" t="s">
        <v>612</v>
      </c>
      <c r="E220" s="14" t="s">
        <v>613</v>
      </c>
      <c r="F220" s="8" t="s">
        <v>614</v>
      </c>
      <c r="G220" s="9" t="s">
        <v>587</v>
      </c>
      <c r="H220" s="9" t="s">
        <v>588</v>
      </c>
      <c r="I220" s="9" t="s">
        <v>725</v>
      </c>
      <c r="J220" s="5" t="s">
        <v>730</v>
      </c>
      <c r="K220" s="20">
        <v>5</v>
      </c>
      <c r="L220" s="10">
        <f>K220*2</f>
        <v>10</v>
      </c>
      <c r="M220" s="11" t="s">
        <v>727</v>
      </c>
      <c r="N220" s="5" t="s">
        <v>717</v>
      </c>
      <c r="O220" s="12">
        <v>45870</v>
      </c>
      <c r="P220" s="12">
        <v>45870</v>
      </c>
      <c r="Q220" s="8"/>
      <c r="R220" s="8"/>
    </row>
    <row r="221" spans="1:18" x14ac:dyDescent="0.25">
      <c r="A221" s="17" t="s">
        <v>304</v>
      </c>
      <c r="B221" s="5" t="s">
        <v>305</v>
      </c>
      <c r="C221" s="6">
        <v>45694</v>
      </c>
      <c r="D221" s="5" t="s">
        <v>591</v>
      </c>
      <c r="E221" s="14" t="s">
        <v>655</v>
      </c>
      <c r="F221" s="5" t="s">
        <v>656</v>
      </c>
      <c r="G221" s="5" t="s">
        <v>588</v>
      </c>
      <c r="H221" s="5" t="s">
        <v>588</v>
      </c>
      <c r="I221" s="9" t="s">
        <v>725</v>
      </c>
      <c r="J221" s="5" t="s">
        <v>730</v>
      </c>
      <c r="K221" s="20">
        <v>5</v>
      </c>
      <c r="L221" s="10">
        <f>K221*2</f>
        <v>10</v>
      </c>
      <c r="M221" s="11"/>
      <c r="N221" s="5" t="s">
        <v>727</v>
      </c>
      <c r="O221" s="12">
        <v>45870</v>
      </c>
      <c r="P221" s="12">
        <v>45870</v>
      </c>
      <c r="Q221" s="8"/>
      <c r="R221" s="8"/>
    </row>
    <row r="222" spans="1:18" x14ac:dyDescent="0.25">
      <c r="A222" s="5" t="s">
        <v>144</v>
      </c>
      <c r="B222" s="5" t="s">
        <v>145</v>
      </c>
      <c r="C222" s="6">
        <v>44811</v>
      </c>
      <c r="D222" s="7" t="s">
        <v>589</v>
      </c>
      <c r="E222" s="7" t="s">
        <v>580</v>
      </c>
      <c r="F222" s="5" t="s">
        <v>603</v>
      </c>
      <c r="G222" s="5" t="s">
        <v>847</v>
      </c>
      <c r="H222" s="5" t="s">
        <v>847</v>
      </c>
      <c r="I222" s="9" t="s">
        <v>725</v>
      </c>
      <c r="J222" s="5" t="s">
        <v>730</v>
      </c>
      <c r="K222" s="10">
        <v>5</v>
      </c>
      <c r="L222" s="10">
        <f>K222*2</f>
        <v>10</v>
      </c>
      <c r="M222" s="20"/>
      <c r="N222" s="5" t="s">
        <v>727</v>
      </c>
      <c r="O222" s="5"/>
      <c r="P222" s="5"/>
      <c r="Q222" s="8"/>
      <c r="R222" s="8"/>
    </row>
    <row r="223" spans="1:18" x14ac:dyDescent="0.25">
      <c r="A223" s="17" t="s">
        <v>162</v>
      </c>
      <c r="B223" s="36" t="s">
        <v>163</v>
      </c>
      <c r="C223" s="6">
        <v>45149</v>
      </c>
      <c r="D223" s="14" t="s">
        <v>612</v>
      </c>
      <c r="E223" s="6" t="s">
        <v>627</v>
      </c>
      <c r="F223" s="9" t="s">
        <v>629</v>
      </c>
      <c r="G223" s="9" t="s">
        <v>599</v>
      </c>
      <c r="H223" s="8" t="s">
        <v>599</v>
      </c>
      <c r="I223" s="9" t="s">
        <v>725</v>
      </c>
      <c r="J223" s="5" t="s">
        <v>730</v>
      </c>
      <c r="K223" s="20">
        <v>5</v>
      </c>
      <c r="L223" s="10">
        <f>K223*2</f>
        <v>10</v>
      </c>
      <c r="M223" s="11" t="s">
        <v>727</v>
      </c>
      <c r="N223" s="5" t="s">
        <v>717</v>
      </c>
      <c r="O223" s="12">
        <v>45870</v>
      </c>
      <c r="P223" s="12">
        <v>45870</v>
      </c>
      <c r="Q223" s="8"/>
      <c r="R223" s="8"/>
    </row>
    <row r="224" spans="1:18" x14ac:dyDescent="0.25">
      <c r="A224" s="5" t="s">
        <v>88</v>
      </c>
      <c r="B224" s="5" t="s">
        <v>89</v>
      </c>
      <c r="C224" s="6">
        <v>44098</v>
      </c>
      <c r="D224" s="5" t="s">
        <v>589</v>
      </c>
      <c r="E224" s="7" t="s">
        <v>621</v>
      </c>
      <c r="F224" s="5" t="s">
        <v>622</v>
      </c>
      <c r="G224" s="5" t="s">
        <v>847</v>
      </c>
      <c r="H224" s="5" t="s">
        <v>847</v>
      </c>
      <c r="I224" s="9" t="s">
        <v>725</v>
      </c>
      <c r="J224" s="5" t="s">
        <v>753</v>
      </c>
      <c r="K224" s="10">
        <f>6.75</f>
        <v>6.75</v>
      </c>
      <c r="L224" s="10">
        <f>K224*2</f>
        <v>13.5</v>
      </c>
      <c r="M224" s="20"/>
      <c r="N224" s="5" t="s">
        <v>727</v>
      </c>
      <c r="O224" s="5"/>
      <c r="P224" s="5"/>
      <c r="Q224" s="8"/>
      <c r="R224" s="8"/>
    </row>
    <row r="225" spans="1:18" x14ac:dyDescent="0.25">
      <c r="A225" s="17" t="s">
        <v>236</v>
      </c>
      <c r="B225" s="9" t="s">
        <v>237</v>
      </c>
      <c r="C225" s="14">
        <v>45365</v>
      </c>
      <c r="D225" s="14" t="s">
        <v>617</v>
      </c>
      <c r="E225" s="14" t="s">
        <v>592</v>
      </c>
      <c r="F225" s="5" t="s">
        <v>593</v>
      </c>
      <c r="G225" s="9" t="s">
        <v>606</v>
      </c>
      <c r="H225" s="9" t="s">
        <v>618</v>
      </c>
      <c r="I225" s="9" t="s">
        <v>725</v>
      </c>
      <c r="J225" s="9" t="s">
        <v>750</v>
      </c>
      <c r="K225" s="11">
        <v>5.95</v>
      </c>
      <c r="L225" s="10">
        <f>K225*2</f>
        <v>11.9</v>
      </c>
      <c r="M225" s="11"/>
      <c r="N225" s="5" t="s">
        <v>727</v>
      </c>
      <c r="O225" s="6">
        <v>45870</v>
      </c>
      <c r="P225" s="12">
        <v>45870</v>
      </c>
      <c r="Q225" s="8"/>
      <c r="R225" s="8"/>
    </row>
    <row r="226" spans="1:18" x14ac:dyDescent="0.25">
      <c r="A226" s="21" t="s">
        <v>251</v>
      </c>
      <c r="B226" s="9" t="s">
        <v>252</v>
      </c>
      <c r="C226" s="6">
        <v>45422</v>
      </c>
      <c r="D226" s="6" t="s">
        <v>644</v>
      </c>
      <c r="E226" s="5" t="s">
        <v>641</v>
      </c>
      <c r="F226" s="5" t="s">
        <v>642</v>
      </c>
      <c r="G226" s="5" t="s">
        <v>645</v>
      </c>
      <c r="H226" s="5" t="s">
        <v>645</v>
      </c>
      <c r="I226" s="15" t="s">
        <v>740</v>
      </c>
      <c r="J226" s="15" t="s">
        <v>740</v>
      </c>
      <c r="K226" s="34">
        <v>0</v>
      </c>
      <c r="L226" s="10">
        <f>K226*2</f>
        <v>0</v>
      </c>
      <c r="M226" s="11"/>
      <c r="N226" s="5" t="s">
        <v>727</v>
      </c>
      <c r="O226" s="12">
        <v>45870</v>
      </c>
      <c r="P226" s="12">
        <v>45870</v>
      </c>
      <c r="Q226" s="8"/>
      <c r="R226" s="8"/>
    </row>
    <row r="227" spans="1:18" x14ac:dyDescent="0.25">
      <c r="A227" s="21" t="s">
        <v>132</v>
      </c>
      <c r="B227" s="5" t="s">
        <v>133</v>
      </c>
      <c r="C227" s="6">
        <v>44722</v>
      </c>
      <c r="D227" s="5" t="s">
        <v>602</v>
      </c>
      <c r="E227" s="14" t="s">
        <v>592</v>
      </c>
      <c r="F227" s="5" t="s">
        <v>593</v>
      </c>
      <c r="G227" s="5" t="s">
        <v>856</v>
      </c>
      <c r="H227" s="5" t="s">
        <v>856</v>
      </c>
      <c r="I227" s="9" t="s">
        <v>725</v>
      </c>
      <c r="J227" s="5" t="s">
        <v>759</v>
      </c>
      <c r="K227" s="20">
        <f>3.9+5.7</f>
        <v>9.6</v>
      </c>
      <c r="L227" s="10">
        <f>K227*2</f>
        <v>19.2</v>
      </c>
      <c r="M227" s="11"/>
      <c r="N227" s="5" t="s">
        <v>727</v>
      </c>
      <c r="O227" s="14">
        <v>45870</v>
      </c>
      <c r="P227" s="12">
        <v>45870</v>
      </c>
      <c r="Q227" s="8"/>
      <c r="R227" s="8"/>
    </row>
    <row r="228" spans="1:18" x14ac:dyDescent="0.25">
      <c r="A228" s="17" t="s">
        <v>156</v>
      </c>
      <c r="B228" s="43" t="s">
        <v>157</v>
      </c>
      <c r="C228" s="6">
        <v>45111</v>
      </c>
      <c r="D228" s="14" t="s">
        <v>612</v>
      </c>
      <c r="E228" s="6" t="s">
        <v>627</v>
      </c>
      <c r="F228" s="9" t="s">
        <v>628</v>
      </c>
      <c r="G228" s="9" t="s">
        <v>599</v>
      </c>
      <c r="H228" s="8" t="s">
        <v>599</v>
      </c>
      <c r="I228" s="9" t="s">
        <v>725</v>
      </c>
      <c r="J228" s="5" t="s">
        <v>762</v>
      </c>
      <c r="K228" s="16">
        <v>5.2</v>
      </c>
      <c r="L228" s="10">
        <f>K228*2</f>
        <v>10.4</v>
      </c>
      <c r="M228" s="11" t="s">
        <v>727</v>
      </c>
      <c r="N228" s="5" t="s">
        <v>717</v>
      </c>
      <c r="O228" s="12">
        <v>45870</v>
      </c>
      <c r="P228" s="12">
        <v>45870</v>
      </c>
      <c r="Q228" s="8"/>
      <c r="R228" s="8"/>
    </row>
    <row r="229" spans="1:18" x14ac:dyDescent="0.25">
      <c r="A229" s="21" t="s">
        <v>415</v>
      </c>
      <c r="B229" s="5" t="s">
        <v>416</v>
      </c>
      <c r="C229" s="6">
        <v>45923</v>
      </c>
      <c r="D229" s="5" t="s">
        <v>664</v>
      </c>
      <c r="E229" s="9" t="s">
        <v>641</v>
      </c>
      <c r="F229" s="5" t="s">
        <v>643</v>
      </c>
      <c r="G229" s="5" t="s">
        <v>665</v>
      </c>
      <c r="H229" s="5" t="s">
        <v>665</v>
      </c>
      <c r="I229" s="9" t="s">
        <v>725</v>
      </c>
      <c r="J229" s="9" t="s">
        <v>789</v>
      </c>
      <c r="K229" s="16">
        <v>6.75</v>
      </c>
      <c r="L229" s="10">
        <f>K229*2</f>
        <v>13.5</v>
      </c>
      <c r="M229" s="11"/>
      <c r="N229" s="5" t="s">
        <v>727</v>
      </c>
      <c r="O229" s="6">
        <v>45933</v>
      </c>
      <c r="P229" s="6">
        <v>45933</v>
      </c>
      <c r="Q229" s="8"/>
      <c r="R229" s="8"/>
    </row>
    <row r="230" spans="1:18" x14ac:dyDescent="0.25">
      <c r="A230" s="21" t="s">
        <v>308</v>
      </c>
      <c r="B230" s="5" t="s">
        <v>309</v>
      </c>
      <c r="C230" s="6">
        <v>45708</v>
      </c>
      <c r="D230" s="5" t="s">
        <v>605</v>
      </c>
      <c r="E230" s="7" t="s">
        <v>621</v>
      </c>
      <c r="F230" s="5" t="s">
        <v>622</v>
      </c>
      <c r="G230" s="5" t="s">
        <v>606</v>
      </c>
      <c r="H230" s="5" t="s">
        <v>606</v>
      </c>
      <c r="I230" s="9" t="s">
        <v>725</v>
      </c>
      <c r="J230" s="5" t="s">
        <v>778</v>
      </c>
      <c r="K230" s="20">
        <f>5.65</f>
        <v>5.65</v>
      </c>
      <c r="L230" s="10">
        <f>K230*2</f>
        <v>11.3</v>
      </c>
      <c r="M230" s="11"/>
      <c r="N230" s="5" t="s">
        <v>727</v>
      </c>
      <c r="O230" s="6">
        <v>45870</v>
      </c>
      <c r="P230" s="12">
        <v>45870</v>
      </c>
      <c r="Q230" s="8"/>
      <c r="R230" s="8"/>
    </row>
    <row r="231" spans="1:18" x14ac:dyDescent="0.25">
      <c r="A231" s="5" t="s">
        <v>276</v>
      </c>
      <c r="B231" s="5" t="s">
        <v>277</v>
      </c>
      <c r="C231" s="6">
        <v>45595</v>
      </c>
      <c r="D231" s="5" t="s">
        <v>596</v>
      </c>
      <c r="E231" s="7" t="s">
        <v>621</v>
      </c>
      <c r="F231" s="5" t="s">
        <v>622</v>
      </c>
      <c r="G231" s="5" t="s">
        <v>597</v>
      </c>
      <c r="H231" s="5" t="s">
        <v>597</v>
      </c>
      <c r="I231" s="9" t="s">
        <v>725</v>
      </c>
      <c r="J231" s="5" t="s">
        <v>730</v>
      </c>
      <c r="K231" s="10">
        <v>5</v>
      </c>
      <c r="L231" s="10">
        <f>K231*2</f>
        <v>10</v>
      </c>
      <c r="M231" s="11"/>
      <c r="N231" s="5" t="s">
        <v>727</v>
      </c>
      <c r="O231" s="6">
        <v>45870</v>
      </c>
      <c r="P231" s="12">
        <v>45870</v>
      </c>
      <c r="Q231" s="8"/>
      <c r="R231" s="8"/>
    </row>
    <row r="232" spans="1:18" x14ac:dyDescent="0.25">
      <c r="A232" s="21" t="s">
        <v>468</v>
      </c>
      <c r="B232" s="5" t="s">
        <v>469</v>
      </c>
      <c r="C232" s="6">
        <v>45975</v>
      </c>
      <c r="D232" s="5" t="s">
        <v>637</v>
      </c>
      <c r="E232" s="9" t="s">
        <v>580</v>
      </c>
      <c r="F232" s="5" t="s">
        <v>603</v>
      </c>
      <c r="G232" s="5" t="s">
        <v>638</v>
      </c>
      <c r="H232" s="5" t="s">
        <v>638</v>
      </c>
      <c r="I232" s="9" t="s">
        <v>725</v>
      </c>
      <c r="J232" s="5" t="s">
        <v>730</v>
      </c>
      <c r="K232" s="20">
        <v>5</v>
      </c>
      <c r="L232" s="10">
        <f>K232*2</f>
        <v>10</v>
      </c>
      <c r="M232" s="26"/>
      <c r="N232" s="5" t="s">
        <v>727</v>
      </c>
      <c r="O232" s="6">
        <v>45992</v>
      </c>
      <c r="P232" s="6">
        <v>45992</v>
      </c>
      <c r="Q232" s="8"/>
      <c r="R232" s="24">
        <v>45993</v>
      </c>
    </row>
    <row r="233" spans="1:18" x14ac:dyDescent="0.25">
      <c r="A233" s="21" t="s">
        <v>58</v>
      </c>
      <c r="B233" s="5" t="s">
        <v>59</v>
      </c>
      <c r="C233" s="6">
        <v>42857</v>
      </c>
      <c r="D233" s="5" t="s">
        <v>605</v>
      </c>
      <c r="E233" s="6" t="s">
        <v>615</v>
      </c>
      <c r="F233" s="5" t="s">
        <v>616</v>
      </c>
      <c r="G233" s="5" t="s">
        <v>606</v>
      </c>
      <c r="H233" s="5" t="s">
        <v>606</v>
      </c>
      <c r="I233" s="9" t="s">
        <v>725</v>
      </c>
      <c r="J233" s="5" t="s">
        <v>744</v>
      </c>
      <c r="K233" s="20">
        <f>5.5</f>
        <v>5.5</v>
      </c>
      <c r="L233" s="10">
        <f>K233*2</f>
        <v>11</v>
      </c>
      <c r="M233" s="11"/>
      <c r="N233" s="5" t="s">
        <v>727</v>
      </c>
      <c r="O233" s="6">
        <v>45870</v>
      </c>
      <c r="P233" s="12">
        <v>45870</v>
      </c>
      <c r="Q233" s="8"/>
      <c r="R233" s="8"/>
    </row>
    <row r="234" spans="1:18" x14ac:dyDescent="0.25">
      <c r="A234" s="21" t="s">
        <v>20</v>
      </c>
      <c r="B234" s="5" t="s">
        <v>383</v>
      </c>
      <c r="C234" s="14">
        <v>45870</v>
      </c>
      <c r="D234" s="5" t="s">
        <v>661</v>
      </c>
      <c r="E234" s="14" t="s">
        <v>592</v>
      </c>
      <c r="F234" s="5" t="s">
        <v>593</v>
      </c>
      <c r="G234" s="5" t="s">
        <v>625</v>
      </c>
      <c r="H234" s="9" t="s">
        <v>861</v>
      </c>
      <c r="I234" s="15" t="s">
        <v>740</v>
      </c>
      <c r="J234" s="15" t="s">
        <v>740</v>
      </c>
      <c r="K234" s="34">
        <v>0</v>
      </c>
      <c r="L234" s="10">
        <f>K234*2</f>
        <v>0</v>
      </c>
      <c r="M234" s="11"/>
      <c r="N234" s="5" t="s">
        <v>727</v>
      </c>
      <c r="O234" s="21" t="s">
        <v>829</v>
      </c>
      <c r="P234" s="21" t="s">
        <v>829</v>
      </c>
      <c r="Q234" s="8"/>
      <c r="R234" s="8"/>
    </row>
    <row r="235" spans="1:18" x14ac:dyDescent="0.25">
      <c r="A235" s="21" t="s">
        <v>427</v>
      </c>
      <c r="B235" s="5" t="s">
        <v>428</v>
      </c>
      <c r="C235" s="6">
        <v>45936</v>
      </c>
      <c r="D235" s="5" t="s">
        <v>612</v>
      </c>
      <c r="E235" s="6" t="s">
        <v>627</v>
      </c>
      <c r="F235" s="9" t="s">
        <v>629</v>
      </c>
      <c r="G235" s="9" t="s">
        <v>599</v>
      </c>
      <c r="H235" s="8" t="s">
        <v>599</v>
      </c>
      <c r="I235" s="9" t="s">
        <v>725</v>
      </c>
      <c r="J235" s="5" t="s">
        <v>793</v>
      </c>
      <c r="K235" s="16">
        <v>5.2</v>
      </c>
      <c r="L235" s="10">
        <f>K235*2</f>
        <v>10.4</v>
      </c>
      <c r="M235" s="11" t="s">
        <v>727</v>
      </c>
      <c r="N235" s="5" t="s">
        <v>717</v>
      </c>
      <c r="O235" s="6">
        <v>45945</v>
      </c>
      <c r="P235" s="6">
        <v>45945</v>
      </c>
      <c r="Q235" s="8"/>
      <c r="R235" s="8"/>
    </row>
    <row r="236" spans="1:18" x14ac:dyDescent="0.25">
      <c r="A236" s="48" t="s">
        <v>126</v>
      </c>
      <c r="B236" s="32" t="s">
        <v>127</v>
      </c>
      <c r="C236" s="33">
        <v>44599</v>
      </c>
      <c r="D236" s="49" t="s">
        <v>591</v>
      </c>
      <c r="E236" s="32" t="s">
        <v>580</v>
      </c>
      <c r="F236" s="32" t="s">
        <v>595</v>
      </c>
      <c r="G236" s="32" t="s">
        <v>588</v>
      </c>
      <c r="H236" s="32" t="s">
        <v>588</v>
      </c>
      <c r="I236" s="9" t="s">
        <v>725</v>
      </c>
      <c r="J236" s="32" t="s">
        <v>730</v>
      </c>
      <c r="K236" s="50">
        <v>5</v>
      </c>
      <c r="L236" s="10">
        <f>K236*2</f>
        <v>10</v>
      </c>
      <c r="M236" s="34"/>
      <c r="N236" s="5" t="s">
        <v>727</v>
      </c>
      <c r="O236" s="35">
        <v>45870</v>
      </c>
      <c r="P236" s="12">
        <v>45870</v>
      </c>
      <c r="Q236" s="8"/>
      <c r="R236" s="8"/>
    </row>
    <row r="237" spans="1:18" x14ac:dyDescent="0.25">
      <c r="A237" s="17" t="s">
        <v>4</v>
      </c>
      <c r="B237" s="9" t="s">
        <v>5</v>
      </c>
      <c r="C237" s="14">
        <v>38322</v>
      </c>
      <c r="D237" s="14" t="s">
        <v>584</v>
      </c>
      <c r="E237" s="5" t="s">
        <v>585</v>
      </c>
      <c r="F237" s="8" t="s">
        <v>586</v>
      </c>
      <c r="G237" s="9" t="s">
        <v>587</v>
      </c>
      <c r="H237" s="9" t="s">
        <v>588</v>
      </c>
      <c r="I237" s="9" t="s">
        <v>728</v>
      </c>
      <c r="J237" s="15" t="s">
        <v>728</v>
      </c>
      <c r="K237" s="11">
        <v>0</v>
      </c>
      <c r="L237" s="10">
        <f>K237*2</f>
        <v>0</v>
      </c>
      <c r="M237" s="11" t="s">
        <v>727</v>
      </c>
      <c r="N237" s="5" t="s">
        <v>717</v>
      </c>
      <c r="O237" s="12">
        <v>45870</v>
      </c>
      <c r="P237" s="12">
        <v>45870</v>
      </c>
      <c r="Q237" s="8"/>
      <c r="R237" s="8"/>
    </row>
    <row r="238" spans="1:18" x14ac:dyDescent="0.25">
      <c r="A238" s="17" t="s">
        <v>257</v>
      </c>
      <c r="B238" s="9" t="s">
        <v>258</v>
      </c>
      <c r="C238" s="14">
        <v>45454</v>
      </c>
      <c r="D238" s="14" t="s">
        <v>617</v>
      </c>
      <c r="E238" s="28" t="s">
        <v>592</v>
      </c>
      <c r="F238" s="5" t="s">
        <v>593</v>
      </c>
      <c r="G238" s="9" t="s">
        <v>618</v>
      </c>
      <c r="H238" s="9" t="s">
        <v>618</v>
      </c>
      <c r="I238" s="9" t="s">
        <v>725</v>
      </c>
      <c r="J238" s="44" t="s">
        <v>774</v>
      </c>
      <c r="K238" s="46">
        <v>12.4</v>
      </c>
      <c r="L238" s="10">
        <f>K238*2</f>
        <v>24.8</v>
      </c>
      <c r="M238" s="46"/>
      <c r="N238" s="5" t="s">
        <v>727</v>
      </c>
      <c r="O238" s="6">
        <v>45870</v>
      </c>
      <c r="P238" s="12">
        <v>45870</v>
      </c>
      <c r="Q238" s="8"/>
      <c r="R238" s="8"/>
    </row>
    <row r="239" spans="1:18" x14ac:dyDescent="0.25">
      <c r="A239" s="21" t="s">
        <v>410</v>
      </c>
      <c r="B239" s="5" t="s">
        <v>411</v>
      </c>
      <c r="C239" s="6">
        <v>45909</v>
      </c>
      <c r="D239" s="5" t="s">
        <v>605</v>
      </c>
      <c r="E239" s="13" t="s">
        <v>580</v>
      </c>
      <c r="F239" s="5" t="s">
        <v>603</v>
      </c>
      <c r="G239" s="5" t="s">
        <v>606</v>
      </c>
      <c r="H239" s="5" t="s">
        <v>606</v>
      </c>
      <c r="I239" s="15" t="s">
        <v>740</v>
      </c>
      <c r="J239" s="15" t="s">
        <v>740</v>
      </c>
      <c r="K239" s="34">
        <v>0</v>
      </c>
      <c r="L239" s="10">
        <f>K239*2</f>
        <v>0</v>
      </c>
      <c r="M239" s="11"/>
      <c r="N239" s="5" t="s">
        <v>727</v>
      </c>
      <c r="O239" s="6">
        <v>45940</v>
      </c>
      <c r="P239" s="6">
        <v>45940</v>
      </c>
      <c r="Q239" s="8"/>
      <c r="R239" s="8"/>
    </row>
    <row r="240" spans="1:18" x14ac:dyDescent="0.25">
      <c r="A240" s="5" t="s">
        <v>853</v>
      </c>
      <c r="B240" s="5" t="s">
        <v>463</v>
      </c>
      <c r="C240" s="6">
        <v>45973</v>
      </c>
      <c r="D240" s="5" t="s">
        <v>596</v>
      </c>
      <c r="E240" s="9" t="s">
        <v>580</v>
      </c>
      <c r="F240" s="5" t="s">
        <v>603</v>
      </c>
      <c r="G240" s="5" t="s">
        <v>597</v>
      </c>
      <c r="H240" s="5" t="s">
        <v>597</v>
      </c>
      <c r="I240" s="9" t="s">
        <v>725</v>
      </c>
      <c r="J240" s="5" t="s">
        <v>799</v>
      </c>
      <c r="K240" s="10">
        <v>5</v>
      </c>
      <c r="L240" s="10">
        <f>K240*2</f>
        <v>10</v>
      </c>
      <c r="M240" s="26"/>
      <c r="N240" s="5" t="s">
        <v>727</v>
      </c>
      <c r="O240" s="6">
        <v>45989</v>
      </c>
      <c r="P240" s="6">
        <v>45989</v>
      </c>
      <c r="Q240" s="8"/>
      <c r="R240" s="24">
        <v>45993</v>
      </c>
    </row>
    <row r="241" spans="1:18" x14ac:dyDescent="0.25">
      <c r="A241" s="21" t="s">
        <v>94</v>
      </c>
      <c r="B241" s="5" t="s">
        <v>95</v>
      </c>
      <c r="C241" s="6">
        <v>44277</v>
      </c>
      <c r="D241" s="5" t="s">
        <v>605</v>
      </c>
      <c r="E241" s="13" t="s">
        <v>580</v>
      </c>
      <c r="F241" s="8" t="s">
        <v>594</v>
      </c>
      <c r="G241" s="5" t="s">
        <v>606</v>
      </c>
      <c r="H241" s="5" t="s">
        <v>606</v>
      </c>
      <c r="I241" s="9" t="s">
        <v>725</v>
      </c>
      <c r="J241" s="5" t="s">
        <v>755</v>
      </c>
      <c r="K241" s="20">
        <f>5+5.65</f>
        <v>10.65</v>
      </c>
      <c r="L241" s="10">
        <f>K241*2</f>
        <v>21.3</v>
      </c>
      <c r="M241" s="11"/>
      <c r="N241" s="5" t="s">
        <v>727</v>
      </c>
      <c r="O241" s="6">
        <v>45870</v>
      </c>
      <c r="P241" s="12">
        <v>45870</v>
      </c>
      <c r="Q241" s="8"/>
      <c r="R241" s="8"/>
    </row>
    <row r="242" spans="1:18" x14ac:dyDescent="0.25">
      <c r="A242" s="17" t="s">
        <v>114</v>
      </c>
      <c r="B242" s="9" t="s">
        <v>115</v>
      </c>
      <c r="C242" s="14">
        <v>44468</v>
      </c>
      <c r="D242" s="14" t="s">
        <v>617</v>
      </c>
      <c r="E242" s="14" t="s">
        <v>592</v>
      </c>
      <c r="F242" s="5" t="s">
        <v>593</v>
      </c>
      <c r="G242" s="9" t="s">
        <v>618</v>
      </c>
      <c r="H242" s="9" t="s">
        <v>618</v>
      </c>
      <c r="I242" s="9" t="s">
        <v>725</v>
      </c>
      <c r="J242" s="44" t="s">
        <v>758</v>
      </c>
      <c r="K242" s="46">
        <v>12.4</v>
      </c>
      <c r="L242" s="10">
        <f>K242*2</f>
        <v>24.8</v>
      </c>
      <c r="M242" s="46"/>
      <c r="N242" s="5" t="s">
        <v>727</v>
      </c>
      <c r="O242" s="6">
        <v>45870</v>
      </c>
      <c r="P242" s="12">
        <v>45870</v>
      </c>
      <c r="Q242" s="8"/>
      <c r="R242" s="8"/>
    </row>
    <row r="243" spans="1:18" x14ac:dyDescent="0.25">
      <c r="A243" s="17" t="s">
        <v>326</v>
      </c>
      <c r="B243" s="22" t="s">
        <v>327</v>
      </c>
      <c r="C243" s="6">
        <v>45776</v>
      </c>
      <c r="D243" s="6" t="s">
        <v>644</v>
      </c>
      <c r="E243" s="13" t="s">
        <v>580</v>
      </c>
      <c r="F243" s="8" t="s">
        <v>624</v>
      </c>
      <c r="G243" s="5" t="s">
        <v>645</v>
      </c>
      <c r="H243" s="5" t="s">
        <v>645</v>
      </c>
      <c r="I243" s="9" t="s">
        <v>725</v>
      </c>
      <c r="J243" s="5" t="s">
        <v>730</v>
      </c>
      <c r="K243" s="20">
        <v>5</v>
      </c>
      <c r="L243" s="10">
        <f>K243*2</f>
        <v>10</v>
      </c>
      <c r="M243" s="11"/>
      <c r="N243" s="5" t="s">
        <v>727</v>
      </c>
      <c r="O243" s="12">
        <v>45870</v>
      </c>
      <c r="P243" s="12">
        <v>45870</v>
      </c>
      <c r="Q243" s="8"/>
      <c r="R243" s="8"/>
    </row>
    <row r="244" spans="1:18" x14ac:dyDescent="0.25">
      <c r="A244" s="17" t="s">
        <v>350</v>
      </c>
      <c r="B244" s="5" t="s">
        <v>351</v>
      </c>
      <c r="C244" s="6">
        <v>45855</v>
      </c>
      <c r="D244" s="25" t="s">
        <v>637</v>
      </c>
      <c r="E244" s="14" t="s">
        <v>655</v>
      </c>
      <c r="F244" s="5" t="s">
        <v>656</v>
      </c>
      <c r="G244" s="5" t="s">
        <v>638</v>
      </c>
      <c r="H244" s="5" t="s">
        <v>638</v>
      </c>
      <c r="I244" s="9" t="s">
        <v>725</v>
      </c>
      <c r="J244" s="5" t="s">
        <v>730</v>
      </c>
      <c r="K244" s="20">
        <v>5</v>
      </c>
      <c r="L244" s="10">
        <f>K244*2</f>
        <v>10</v>
      </c>
      <c r="M244" s="11"/>
      <c r="N244" s="5" t="s">
        <v>727</v>
      </c>
      <c r="O244" s="17" t="s">
        <v>825</v>
      </c>
      <c r="P244" s="17" t="s">
        <v>825</v>
      </c>
      <c r="Q244" s="8"/>
      <c r="R244" s="8"/>
    </row>
    <row r="245" spans="1:18" x14ac:dyDescent="0.25">
      <c r="A245" s="19" t="s">
        <v>545</v>
      </c>
      <c r="B245" s="5" t="s">
        <v>546</v>
      </c>
      <c r="C245" s="6" t="s">
        <v>705</v>
      </c>
      <c r="D245" s="5" t="s">
        <v>660</v>
      </c>
      <c r="E245" s="6" t="s">
        <v>615</v>
      </c>
      <c r="F245" s="5" t="s">
        <v>616</v>
      </c>
      <c r="G245" s="5" t="s">
        <v>583</v>
      </c>
      <c r="H245" s="5" t="s">
        <v>583</v>
      </c>
      <c r="I245" s="9" t="s">
        <v>725</v>
      </c>
      <c r="J245" s="5" t="s">
        <v>817</v>
      </c>
      <c r="K245" s="16">
        <f>5.2</f>
        <v>5.2</v>
      </c>
      <c r="L245" s="10">
        <f>K245*2</f>
        <v>10.4</v>
      </c>
      <c r="M245" s="11"/>
      <c r="N245" s="5" t="s">
        <v>727</v>
      </c>
      <c r="O245" s="12">
        <v>45870</v>
      </c>
      <c r="P245" s="12">
        <v>45870</v>
      </c>
      <c r="Q245" s="8"/>
      <c r="R245" s="8"/>
    </row>
    <row r="246" spans="1:18" x14ac:dyDescent="0.25">
      <c r="A246" s="21" t="s">
        <v>310</v>
      </c>
      <c r="B246" s="5" t="s">
        <v>311</v>
      </c>
      <c r="C246" s="6">
        <v>45740</v>
      </c>
      <c r="D246" s="6" t="s">
        <v>591</v>
      </c>
      <c r="E246" s="13" t="s">
        <v>580</v>
      </c>
      <c r="F246" s="8" t="s">
        <v>594</v>
      </c>
      <c r="G246" s="5" t="s">
        <v>588</v>
      </c>
      <c r="H246" s="5" t="s">
        <v>588</v>
      </c>
      <c r="I246" s="9" t="s">
        <v>725</v>
      </c>
      <c r="J246" s="9" t="s">
        <v>733</v>
      </c>
      <c r="K246" s="16">
        <v>400</v>
      </c>
      <c r="L246" s="10">
        <f>K246*1</f>
        <v>400</v>
      </c>
      <c r="M246" s="11"/>
      <c r="N246" s="5" t="s">
        <v>727</v>
      </c>
      <c r="O246" s="21" t="s">
        <v>827</v>
      </c>
      <c r="P246" s="21" t="s">
        <v>827</v>
      </c>
      <c r="Q246" s="8"/>
      <c r="R246" s="8"/>
    </row>
    <row r="247" spans="1:18" x14ac:dyDescent="0.25">
      <c r="A247" s="5" t="s">
        <v>96</v>
      </c>
      <c r="B247" s="5" t="s">
        <v>97</v>
      </c>
      <c r="C247" s="6">
        <v>44298</v>
      </c>
      <c r="D247" s="5" t="s">
        <v>589</v>
      </c>
      <c r="E247" s="7" t="s">
        <v>592</v>
      </c>
      <c r="F247" s="5" t="s">
        <v>593</v>
      </c>
      <c r="G247" s="5" t="s">
        <v>848</v>
      </c>
      <c r="H247" s="5" t="s">
        <v>847</v>
      </c>
      <c r="I247" s="9" t="s">
        <v>725</v>
      </c>
      <c r="J247" s="5" t="s">
        <v>756</v>
      </c>
      <c r="K247" s="10">
        <f>5.8+5.8</f>
        <v>11.6</v>
      </c>
      <c r="L247" s="10">
        <f>K247*2</f>
        <v>23.2</v>
      </c>
      <c r="M247" s="20"/>
      <c r="N247" s="5" t="s">
        <v>727</v>
      </c>
      <c r="O247" s="5"/>
      <c r="P247" s="5"/>
      <c r="Q247" s="8"/>
      <c r="R247" s="8"/>
    </row>
    <row r="248" spans="1:18" x14ac:dyDescent="0.25">
      <c r="A248" s="32" t="s">
        <v>531</v>
      </c>
      <c r="B248" s="32" t="s">
        <v>532</v>
      </c>
      <c r="C248" s="33" t="s">
        <v>698</v>
      </c>
      <c r="D248" s="32" t="s">
        <v>607</v>
      </c>
      <c r="E248" s="49" t="s">
        <v>592</v>
      </c>
      <c r="F248" s="32" t="s">
        <v>593</v>
      </c>
      <c r="G248" s="32" t="s">
        <v>590</v>
      </c>
      <c r="H248" s="32" t="s">
        <v>590</v>
      </c>
      <c r="I248" s="9" t="s">
        <v>725</v>
      </c>
      <c r="J248" s="32" t="s">
        <v>815</v>
      </c>
      <c r="K248" s="50">
        <f>9.65</f>
        <v>9.65</v>
      </c>
      <c r="L248" s="10">
        <f>K248*2</f>
        <v>19.3</v>
      </c>
      <c r="M248" s="34"/>
      <c r="N248" s="5" t="s">
        <v>727</v>
      </c>
      <c r="O248" s="35">
        <v>45870</v>
      </c>
      <c r="P248" s="12">
        <v>45870</v>
      </c>
      <c r="Q248" s="8"/>
      <c r="R248" s="8"/>
    </row>
    <row r="249" spans="1:18" x14ac:dyDescent="0.25">
      <c r="A249" s="21" t="s">
        <v>452</v>
      </c>
      <c r="B249" s="5" t="s">
        <v>453</v>
      </c>
      <c r="C249" s="6">
        <v>45961</v>
      </c>
      <c r="D249" s="5" t="s">
        <v>660</v>
      </c>
      <c r="E249" s="13" t="s">
        <v>580</v>
      </c>
      <c r="F249" s="8" t="s">
        <v>633</v>
      </c>
      <c r="G249" s="5" t="s">
        <v>583</v>
      </c>
      <c r="H249" s="5" t="s">
        <v>583</v>
      </c>
      <c r="I249" s="9" t="s">
        <v>725</v>
      </c>
      <c r="J249" s="5" t="s">
        <v>795</v>
      </c>
      <c r="K249" s="20">
        <f>6.15</f>
        <v>6.15</v>
      </c>
      <c r="L249" s="10">
        <f>K249*2</f>
        <v>12.3</v>
      </c>
      <c r="M249" s="11"/>
      <c r="N249" s="5" t="s">
        <v>727</v>
      </c>
      <c r="O249" s="6">
        <v>45975</v>
      </c>
      <c r="P249" s="21" t="s">
        <v>832</v>
      </c>
      <c r="Q249" s="8"/>
      <c r="R249" s="47">
        <v>46000</v>
      </c>
    </row>
    <row r="250" spans="1:18" x14ac:dyDescent="0.25">
      <c r="A250" s="19" t="s">
        <v>565</v>
      </c>
      <c r="B250" s="5" t="s">
        <v>566</v>
      </c>
      <c r="C250" s="6" t="s">
        <v>716</v>
      </c>
      <c r="D250" s="5" t="s">
        <v>666</v>
      </c>
      <c r="E250" s="13" t="s">
        <v>580</v>
      </c>
      <c r="F250" s="5" t="s">
        <v>604</v>
      </c>
      <c r="G250" s="5" t="s">
        <v>665</v>
      </c>
      <c r="H250" s="5" t="s">
        <v>665</v>
      </c>
      <c r="I250" s="15" t="s">
        <v>740</v>
      </c>
      <c r="J250" s="15" t="s">
        <v>740</v>
      </c>
      <c r="K250" s="34">
        <v>0</v>
      </c>
      <c r="L250" s="10">
        <f>K250*2</f>
        <v>0</v>
      </c>
      <c r="M250" s="11"/>
      <c r="N250" s="5" t="s">
        <v>727</v>
      </c>
      <c r="O250" s="12">
        <v>45870</v>
      </c>
      <c r="P250" s="12">
        <v>45870</v>
      </c>
      <c r="Q250" s="8"/>
      <c r="R250" s="8"/>
    </row>
    <row r="251" spans="1:18" x14ac:dyDescent="0.25">
      <c r="A251" s="21" t="s">
        <v>225</v>
      </c>
      <c r="B251" s="5" t="s">
        <v>226</v>
      </c>
      <c r="C251" s="6">
        <v>45349</v>
      </c>
      <c r="D251" s="5" t="s">
        <v>602</v>
      </c>
      <c r="E251" s="13" t="s">
        <v>580</v>
      </c>
      <c r="F251" s="5" t="s">
        <v>603</v>
      </c>
      <c r="G251" s="5" t="s">
        <v>856</v>
      </c>
      <c r="H251" s="5" t="s">
        <v>856</v>
      </c>
      <c r="I251" s="9" t="s">
        <v>725</v>
      </c>
      <c r="J251" s="5" t="s">
        <v>730</v>
      </c>
      <c r="K251" s="20">
        <v>5</v>
      </c>
      <c r="L251" s="10">
        <f>K251*2</f>
        <v>10</v>
      </c>
      <c r="M251" s="11"/>
      <c r="N251" s="5" t="s">
        <v>727</v>
      </c>
      <c r="O251" s="14">
        <v>45870</v>
      </c>
      <c r="P251" s="12">
        <v>45870</v>
      </c>
      <c r="Q251" s="8"/>
      <c r="R251" s="8"/>
    </row>
    <row r="252" spans="1:18" x14ac:dyDescent="0.25">
      <c r="A252" s="21" t="s">
        <v>74</v>
      </c>
      <c r="B252" s="5" t="s">
        <v>75</v>
      </c>
      <c r="C252" s="6">
        <v>43483</v>
      </c>
      <c r="D252" s="5" t="s">
        <v>602</v>
      </c>
      <c r="E252" s="13" t="s">
        <v>580</v>
      </c>
      <c r="F252" s="8" t="s">
        <v>581</v>
      </c>
      <c r="G252" s="5" t="s">
        <v>856</v>
      </c>
      <c r="H252" s="5" t="s">
        <v>856</v>
      </c>
      <c r="I252" s="9" t="s">
        <v>725</v>
      </c>
      <c r="J252" s="5" t="s">
        <v>730</v>
      </c>
      <c r="K252" s="20">
        <v>5</v>
      </c>
      <c r="L252" s="10">
        <f>K252*2</f>
        <v>10</v>
      </c>
      <c r="M252" s="11"/>
      <c r="N252" s="5" t="s">
        <v>727</v>
      </c>
      <c r="O252" s="14">
        <v>45870</v>
      </c>
      <c r="P252" s="12">
        <v>45870</v>
      </c>
      <c r="Q252" s="8"/>
      <c r="R252" s="8"/>
    </row>
    <row r="253" spans="1:18" x14ac:dyDescent="0.25">
      <c r="A253" s="5" t="s">
        <v>142</v>
      </c>
      <c r="B253" s="5" t="s">
        <v>143</v>
      </c>
      <c r="C253" s="6">
        <v>44806</v>
      </c>
      <c r="D253" s="5" t="s">
        <v>589</v>
      </c>
      <c r="E253" s="14" t="s">
        <v>600</v>
      </c>
      <c r="F253" s="8" t="s">
        <v>601</v>
      </c>
      <c r="G253" s="5" t="s">
        <v>626</v>
      </c>
      <c r="H253" s="5" t="s">
        <v>847</v>
      </c>
      <c r="I253" s="9" t="s">
        <v>725</v>
      </c>
      <c r="J253" s="15" t="s">
        <v>733</v>
      </c>
      <c r="K253" s="11">
        <v>400</v>
      </c>
      <c r="L253" s="10">
        <f>K253*1</f>
        <v>400</v>
      </c>
      <c r="M253" s="11"/>
      <c r="N253" s="5" t="s">
        <v>727</v>
      </c>
      <c r="O253" s="5"/>
      <c r="P253" s="5"/>
      <c r="Q253" s="8"/>
      <c r="R253" s="8"/>
    </row>
    <row r="254" spans="1:18" x14ac:dyDescent="0.25">
      <c r="A254" s="21" t="s">
        <v>361</v>
      </c>
      <c r="B254" s="5" t="s">
        <v>362</v>
      </c>
      <c r="C254" s="6">
        <v>45867</v>
      </c>
      <c r="D254" s="6" t="s">
        <v>660</v>
      </c>
      <c r="E254" s="14" t="s">
        <v>592</v>
      </c>
      <c r="F254" s="5" t="s">
        <v>593</v>
      </c>
      <c r="G254" s="5" t="s">
        <v>583</v>
      </c>
      <c r="H254" s="5" t="s">
        <v>583</v>
      </c>
      <c r="I254" s="9" t="s">
        <v>725</v>
      </c>
      <c r="J254" s="9" t="s">
        <v>781</v>
      </c>
      <c r="K254" s="20">
        <f>5.8</f>
        <v>5.8</v>
      </c>
      <c r="L254" s="10">
        <f>K254*2</f>
        <v>11.6</v>
      </c>
      <c r="M254" s="11"/>
      <c r="N254" s="5" t="s">
        <v>727</v>
      </c>
      <c r="O254" s="21" t="s">
        <v>825</v>
      </c>
      <c r="P254" s="21" t="s">
        <v>825</v>
      </c>
      <c r="Q254" s="8"/>
      <c r="R254" s="47">
        <v>45890</v>
      </c>
    </row>
    <row r="255" spans="1:18" x14ac:dyDescent="0.25">
      <c r="A255" s="5" t="s">
        <v>82</v>
      </c>
      <c r="B255" s="5" t="s">
        <v>83</v>
      </c>
      <c r="C255" s="6">
        <v>43740</v>
      </c>
      <c r="D255" s="5" t="s">
        <v>589</v>
      </c>
      <c r="E255" s="7" t="s">
        <v>580</v>
      </c>
      <c r="F255" s="5" t="s">
        <v>603</v>
      </c>
      <c r="G255" s="5" t="s">
        <v>847</v>
      </c>
      <c r="H255" s="5" t="s">
        <v>847</v>
      </c>
      <c r="I255" s="9" t="s">
        <v>725</v>
      </c>
      <c r="J255" s="5" t="s">
        <v>751</v>
      </c>
      <c r="K255" s="10">
        <f>5.9+5.2</f>
        <v>11.100000000000001</v>
      </c>
      <c r="L255" s="10">
        <f>K255*2</f>
        <v>22.200000000000003</v>
      </c>
      <c r="M255" s="20"/>
      <c r="N255" s="5" t="s">
        <v>727</v>
      </c>
      <c r="O255" s="5"/>
      <c r="P255" s="5"/>
      <c r="Q255" s="8"/>
      <c r="R255" s="8"/>
    </row>
    <row r="256" spans="1:18" x14ac:dyDescent="0.25">
      <c r="A256" s="17" t="s">
        <v>128</v>
      </c>
      <c r="B256" s="9" t="s">
        <v>129</v>
      </c>
      <c r="C256" s="14">
        <v>44608</v>
      </c>
      <c r="D256" s="14" t="s">
        <v>591</v>
      </c>
      <c r="E256" s="13" t="s">
        <v>580</v>
      </c>
      <c r="F256" s="5" t="s">
        <v>604</v>
      </c>
      <c r="G256" s="9" t="s">
        <v>588</v>
      </c>
      <c r="H256" s="9" t="s">
        <v>588</v>
      </c>
      <c r="I256" s="9" t="s">
        <v>725</v>
      </c>
      <c r="J256" s="5" t="s">
        <v>730</v>
      </c>
      <c r="K256" s="20">
        <v>5</v>
      </c>
      <c r="L256" s="10">
        <f>K256*2</f>
        <v>10</v>
      </c>
      <c r="M256" s="20"/>
      <c r="N256" s="5" t="s">
        <v>727</v>
      </c>
      <c r="O256" s="12">
        <v>45870</v>
      </c>
      <c r="P256" s="12">
        <v>45870</v>
      </c>
      <c r="Q256" s="8"/>
      <c r="R256" s="8"/>
    </row>
    <row r="257" spans="1:18" x14ac:dyDescent="0.25">
      <c r="A257" s="13" t="s">
        <v>36</v>
      </c>
      <c r="B257" s="9" t="s">
        <v>37</v>
      </c>
      <c r="C257" s="14">
        <v>41495</v>
      </c>
      <c r="D257" s="9" t="s">
        <v>607</v>
      </c>
      <c r="E257" s="9" t="s">
        <v>580</v>
      </c>
      <c r="F257" s="9" t="s">
        <v>594</v>
      </c>
      <c r="G257" s="9" t="s">
        <v>590</v>
      </c>
      <c r="H257" s="9" t="s">
        <v>590</v>
      </c>
      <c r="I257" s="9" t="s">
        <v>725</v>
      </c>
      <c r="J257" s="9" t="s">
        <v>739</v>
      </c>
      <c r="K257" s="16">
        <f>4.65</f>
        <v>4.6500000000000004</v>
      </c>
      <c r="L257" s="10">
        <f>K257*2</f>
        <v>9.3000000000000007</v>
      </c>
      <c r="M257" s="20"/>
      <c r="N257" s="5" t="s">
        <v>727</v>
      </c>
      <c r="O257" s="12">
        <v>45870</v>
      </c>
      <c r="P257" s="12">
        <v>45870</v>
      </c>
      <c r="Q257" s="8"/>
      <c r="R257" s="8"/>
    </row>
    <row r="258" spans="1:18" x14ac:dyDescent="0.25">
      <c r="A258" s="19" t="s">
        <v>491</v>
      </c>
      <c r="B258" s="5" t="s">
        <v>492</v>
      </c>
      <c r="C258" s="6" t="s">
        <v>677</v>
      </c>
      <c r="D258" s="5" t="s">
        <v>660</v>
      </c>
      <c r="E258" s="13" t="s">
        <v>580</v>
      </c>
      <c r="F258" s="8" t="s">
        <v>581</v>
      </c>
      <c r="G258" s="5" t="s">
        <v>583</v>
      </c>
      <c r="H258" s="5" t="s">
        <v>583</v>
      </c>
      <c r="I258" s="9" t="s">
        <v>725</v>
      </c>
      <c r="J258" s="9" t="s">
        <v>806</v>
      </c>
      <c r="K258" s="16">
        <f>5.8+5.2</f>
        <v>11</v>
      </c>
      <c r="L258" s="10">
        <f>K258*2</f>
        <v>22</v>
      </c>
      <c r="M258" s="20"/>
      <c r="N258" s="5" t="s">
        <v>727</v>
      </c>
      <c r="O258" s="12">
        <v>45870</v>
      </c>
      <c r="P258" s="12">
        <v>45870</v>
      </c>
      <c r="Q258" s="8"/>
      <c r="R258" s="8"/>
    </row>
    <row r="259" spans="1:18" x14ac:dyDescent="0.25">
      <c r="A259" s="17" t="s">
        <v>316</v>
      </c>
      <c r="B259" s="22" t="s">
        <v>336</v>
      </c>
      <c r="C259" s="6">
        <v>45812</v>
      </c>
      <c r="D259" s="25" t="s">
        <v>612</v>
      </c>
      <c r="E259" s="6" t="s">
        <v>627</v>
      </c>
      <c r="F259" s="9" t="s">
        <v>628</v>
      </c>
      <c r="G259" s="9" t="s">
        <v>599</v>
      </c>
      <c r="H259" s="8" t="s">
        <v>599</v>
      </c>
      <c r="I259" s="9" t="s">
        <v>725</v>
      </c>
      <c r="J259" s="5" t="s">
        <v>730</v>
      </c>
      <c r="K259" s="20">
        <v>5</v>
      </c>
      <c r="L259" s="10">
        <f>K259*2</f>
        <v>10</v>
      </c>
      <c r="M259" s="11" t="s">
        <v>727</v>
      </c>
      <c r="N259" s="5" t="s">
        <v>717</v>
      </c>
      <c r="O259" s="12">
        <v>45870</v>
      </c>
      <c r="P259" s="12">
        <v>45870</v>
      </c>
      <c r="Q259" s="8"/>
      <c r="R259" s="8"/>
    </row>
    <row r="260" spans="1:18" x14ac:dyDescent="0.25">
      <c r="A260" s="21" t="s">
        <v>435</v>
      </c>
      <c r="B260" s="5" t="s">
        <v>436</v>
      </c>
      <c r="C260" s="6">
        <v>45939</v>
      </c>
      <c r="D260" s="5" t="s">
        <v>667</v>
      </c>
      <c r="E260" s="13" t="s">
        <v>580</v>
      </c>
      <c r="F260" s="8" t="s">
        <v>594</v>
      </c>
      <c r="G260" s="5" t="s">
        <v>606</v>
      </c>
      <c r="H260" s="5" t="s">
        <v>606</v>
      </c>
      <c r="I260" s="9" t="s">
        <v>725</v>
      </c>
      <c r="J260" s="5" t="s">
        <v>794</v>
      </c>
      <c r="K260" s="20">
        <f>5.5</f>
        <v>5.5</v>
      </c>
      <c r="L260" s="10">
        <f>K260*2</f>
        <v>11</v>
      </c>
      <c r="M260" s="26"/>
      <c r="N260" s="5" t="s">
        <v>727</v>
      </c>
      <c r="O260" s="6">
        <v>45950</v>
      </c>
      <c r="P260" s="6">
        <v>45950</v>
      </c>
      <c r="Q260" s="8"/>
      <c r="R260" s="8"/>
    </row>
    <row r="261" spans="1:18" x14ac:dyDescent="0.25">
      <c r="A261" s="21" t="s">
        <v>215</v>
      </c>
      <c r="B261" s="5" t="s">
        <v>216</v>
      </c>
      <c r="C261" s="6">
        <v>45341</v>
      </c>
      <c r="D261" s="6" t="s">
        <v>637</v>
      </c>
      <c r="E261" s="13" t="s">
        <v>580</v>
      </c>
      <c r="F261" s="5" t="s">
        <v>624</v>
      </c>
      <c r="G261" s="5" t="s">
        <v>638</v>
      </c>
      <c r="H261" s="5" t="s">
        <v>638</v>
      </c>
      <c r="I261" s="9" t="s">
        <v>725</v>
      </c>
      <c r="J261" s="5" t="s">
        <v>730</v>
      </c>
      <c r="K261" s="20">
        <v>5</v>
      </c>
      <c r="L261" s="10">
        <f>K261*2</f>
        <v>10</v>
      </c>
      <c r="M261" s="11"/>
      <c r="N261" s="5" t="s">
        <v>727</v>
      </c>
      <c r="O261" s="12">
        <v>45870</v>
      </c>
      <c r="P261" s="12">
        <v>45870</v>
      </c>
      <c r="Q261" s="8"/>
      <c r="R261" s="8"/>
    </row>
    <row r="262" spans="1:18" x14ac:dyDescent="0.25">
      <c r="A262" s="17" t="s">
        <v>4</v>
      </c>
      <c r="B262" s="22" t="s">
        <v>325</v>
      </c>
      <c r="C262" s="6">
        <v>45764</v>
      </c>
      <c r="D262" s="6" t="s">
        <v>637</v>
      </c>
      <c r="E262" s="9" t="s">
        <v>641</v>
      </c>
      <c r="F262" s="5" t="s">
        <v>643</v>
      </c>
      <c r="G262" s="5" t="s">
        <v>638</v>
      </c>
      <c r="H262" s="5" t="s">
        <v>638</v>
      </c>
      <c r="I262" s="9" t="s">
        <v>725</v>
      </c>
      <c r="J262" s="5" t="s">
        <v>730</v>
      </c>
      <c r="K262" s="20">
        <v>5</v>
      </c>
      <c r="L262" s="10">
        <f>K262*2</f>
        <v>10</v>
      </c>
      <c r="M262" s="11"/>
      <c r="N262" s="5" t="s">
        <v>727</v>
      </c>
      <c r="O262" s="12">
        <v>45870</v>
      </c>
      <c r="P262" s="12">
        <v>45870</v>
      </c>
      <c r="Q262" s="8"/>
      <c r="R262" s="8"/>
    </row>
    <row r="263" spans="1:18" x14ac:dyDescent="0.25">
      <c r="A263" s="5" t="s">
        <v>130</v>
      </c>
      <c r="B263" s="5" t="s">
        <v>131</v>
      </c>
      <c r="C263" s="6">
        <v>44655</v>
      </c>
      <c r="D263" s="5" t="s">
        <v>589</v>
      </c>
      <c r="E263" s="7" t="s">
        <v>580</v>
      </c>
      <c r="F263" s="5" t="s">
        <v>603</v>
      </c>
      <c r="G263" s="5" t="s">
        <v>847</v>
      </c>
      <c r="H263" s="5" t="s">
        <v>847</v>
      </c>
      <c r="I263" s="9" t="s">
        <v>725</v>
      </c>
      <c r="J263" s="5" t="s">
        <v>730</v>
      </c>
      <c r="K263" s="10">
        <v>5</v>
      </c>
      <c r="L263" s="10">
        <f>K263*2</f>
        <v>10</v>
      </c>
      <c r="M263" s="11"/>
      <c r="N263" s="5" t="s">
        <v>727</v>
      </c>
      <c r="O263" s="5"/>
      <c r="P263" s="5"/>
      <c r="Q263" s="8"/>
      <c r="R263" s="8"/>
    </row>
    <row r="264" spans="1:18" x14ac:dyDescent="0.25">
      <c r="A264" s="21" t="s">
        <v>456</v>
      </c>
      <c r="B264" s="5" t="s">
        <v>457</v>
      </c>
      <c r="C264" s="6">
        <v>45966</v>
      </c>
      <c r="D264" s="14" t="s">
        <v>602</v>
      </c>
      <c r="E264" s="13" t="s">
        <v>580</v>
      </c>
      <c r="F264" s="8" t="s">
        <v>633</v>
      </c>
      <c r="G264" s="5" t="s">
        <v>856</v>
      </c>
      <c r="H264" s="5" t="s">
        <v>856</v>
      </c>
      <c r="I264" s="9" t="s">
        <v>725</v>
      </c>
      <c r="J264" s="5" t="s">
        <v>796</v>
      </c>
      <c r="K264" s="20">
        <f>5.2+3.7</f>
        <v>8.9</v>
      </c>
      <c r="L264" s="10">
        <f>K264*2</f>
        <v>17.8</v>
      </c>
      <c r="M264" s="11"/>
      <c r="N264" s="5" t="s">
        <v>727</v>
      </c>
      <c r="O264" s="6">
        <v>45975</v>
      </c>
      <c r="P264" s="21" t="s">
        <v>832</v>
      </c>
      <c r="Q264" s="8"/>
      <c r="R264" s="47">
        <v>46001</v>
      </c>
    </row>
    <row r="265" spans="1:18" x14ac:dyDescent="0.25">
      <c r="A265" s="21" t="s">
        <v>391</v>
      </c>
      <c r="B265" s="9" t="s">
        <v>392</v>
      </c>
      <c r="C265" s="14">
        <v>45874</v>
      </c>
      <c r="D265" s="14" t="s">
        <v>664</v>
      </c>
      <c r="E265" s="13" t="s">
        <v>580</v>
      </c>
      <c r="F265" s="5" t="s">
        <v>603</v>
      </c>
      <c r="G265" s="9" t="s">
        <v>665</v>
      </c>
      <c r="H265" s="9" t="s">
        <v>665</v>
      </c>
      <c r="I265" s="9" t="s">
        <v>725</v>
      </c>
      <c r="J265" s="5" t="s">
        <v>785</v>
      </c>
      <c r="K265" s="20">
        <v>11.6</v>
      </c>
      <c r="L265" s="10">
        <f>K265*2</f>
        <v>23.2</v>
      </c>
      <c r="M265" s="11"/>
      <c r="N265" s="5" t="s">
        <v>727</v>
      </c>
      <c r="O265" s="21" t="s">
        <v>825</v>
      </c>
      <c r="P265" s="21" t="s">
        <v>825</v>
      </c>
      <c r="Q265" s="8"/>
      <c r="R265" s="8"/>
    </row>
    <row r="266" spans="1:18" x14ac:dyDescent="0.25">
      <c r="A266" s="17" t="s">
        <v>14</v>
      </c>
      <c r="B266" s="9" t="s">
        <v>15</v>
      </c>
      <c r="C266" s="14">
        <v>39463</v>
      </c>
      <c r="D266" s="14" t="s">
        <v>591</v>
      </c>
      <c r="E266" s="13" t="s">
        <v>580</v>
      </c>
      <c r="F266" s="5" t="s">
        <v>595</v>
      </c>
      <c r="G266" s="9" t="s">
        <v>588</v>
      </c>
      <c r="H266" s="9" t="s">
        <v>588</v>
      </c>
      <c r="I266" s="9" t="s">
        <v>725</v>
      </c>
      <c r="J266" s="5" t="s">
        <v>730</v>
      </c>
      <c r="K266" s="20">
        <v>5</v>
      </c>
      <c r="L266" s="10">
        <f>K266*2</f>
        <v>10</v>
      </c>
      <c r="M266" s="11"/>
      <c r="N266" s="5" t="s">
        <v>727</v>
      </c>
      <c r="O266" s="12">
        <v>45870</v>
      </c>
      <c r="P266" s="12">
        <v>45870</v>
      </c>
      <c r="Q266" s="8"/>
      <c r="R266" s="8"/>
    </row>
    <row r="267" spans="1:18" x14ac:dyDescent="0.25">
      <c r="A267" s="5" t="s">
        <v>176</v>
      </c>
      <c r="B267" s="5" t="s">
        <v>177</v>
      </c>
      <c r="C267" s="6">
        <v>45204</v>
      </c>
      <c r="D267" s="5" t="s">
        <v>596</v>
      </c>
      <c r="E267" s="7" t="s">
        <v>580</v>
      </c>
      <c r="F267" s="5" t="s">
        <v>603</v>
      </c>
      <c r="G267" s="5" t="s">
        <v>597</v>
      </c>
      <c r="H267" s="5" t="s">
        <v>597</v>
      </c>
      <c r="I267" s="9" t="s">
        <v>725</v>
      </c>
      <c r="J267" s="5" t="s">
        <v>730</v>
      </c>
      <c r="K267" s="10">
        <v>5</v>
      </c>
      <c r="L267" s="10">
        <f>K267*2</f>
        <v>10</v>
      </c>
      <c r="M267" s="11"/>
      <c r="N267" s="5" t="s">
        <v>727</v>
      </c>
      <c r="O267" s="6">
        <v>45870</v>
      </c>
      <c r="P267" s="12">
        <v>45870</v>
      </c>
      <c r="Q267" s="8"/>
      <c r="R267" s="8"/>
    </row>
    <row r="268" spans="1:18" x14ac:dyDescent="0.25">
      <c r="A268" s="5" t="s">
        <v>46</v>
      </c>
      <c r="B268" s="5" t="s">
        <v>47</v>
      </c>
      <c r="C268" s="6">
        <v>41970</v>
      </c>
      <c r="D268" s="5" t="s">
        <v>589</v>
      </c>
      <c r="E268" s="7" t="s">
        <v>580</v>
      </c>
      <c r="F268" s="8" t="s">
        <v>594</v>
      </c>
      <c r="G268" s="5" t="s">
        <v>847</v>
      </c>
      <c r="H268" s="5" t="s">
        <v>847</v>
      </c>
      <c r="I268" s="9" t="s">
        <v>725</v>
      </c>
      <c r="J268" s="5" t="s">
        <v>730</v>
      </c>
      <c r="K268" s="10">
        <v>5</v>
      </c>
      <c r="L268" s="10">
        <f>K268*2</f>
        <v>10</v>
      </c>
      <c r="M268" s="11"/>
      <c r="N268" s="5" t="s">
        <v>727</v>
      </c>
      <c r="O268" s="5"/>
      <c r="P268" s="5"/>
      <c r="Q268" s="8"/>
      <c r="R268" s="8"/>
    </row>
    <row r="269" spans="1:18" x14ac:dyDescent="0.25">
      <c r="A269" s="21" t="s">
        <v>367</v>
      </c>
      <c r="B269" s="5" t="s">
        <v>472</v>
      </c>
      <c r="C269" s="6">
        <v>45979</v>
      </c>
      <c r="D269" s="5" t="s">
        <v>664</v>
      </c>
      <c r="E269" s="13" t="s">
        <v>580</v>
      </c>
      <c r="F269" s="8" t="s">
        <v>594</v>
      </c>
      <c r="G269" s="5" t="s">
        <v>665</v>
      </c>
      <c r="H269" s="5" t="s">
        <v>665</v>
      </c>
      <c r="I269" s="9" t="s">
        <v>725</v>
      </c>
      <c r="J269" s="5" t="s">
        <v>801</v>
      </c>
      <c r="K269" s="10">
        <f>5.6</f>
        <v>5.6</v>
      </c>
      <c r="L269" s="10">
        <f>K269*2</f>
        <v>11.2</v>
      </c>
      <c r="M269" s="11" t="s">
        <v>717</v>
      </c>
      <c r="N269" s="5" t="s">
        <v>727</v>
      </c>
      <c r="O269" s="6">
        <v>45992</v>
      </c>
      <c r="P269" s="6">
        <v>45992</v>
      </c>
      <c r="Q269" s="8"/>
      <c r="R269" s="8"/>
    </row>
    <row r="270" spans="1:18" x14ac:dyDescent="0.25">
      <c r="A270" s="17" t="s">
        <v>348</v>
      </c>
      <c r="B270" s="5" t="s">
        <v>349</v>
      </c>
      <c r="C270" s="6">
        <v>45848</v>
      </c>
      <c r="D270" s="5" t="s">
        <v>591</v>
      </c>
      <c r="E270" s="14" t="s">
        <v>608</v>
      </c>
      <c r="F270" s="5" t="s">
        <v>609</v>
      </c>
      <c r="G270" s="9" t="s">
        <v>588</v>
      </c>
      <c r="H270" s="9" t="s">
        <v>588</v>
      </c>
      <c r="I270" s="15" t="s">
        <v>740</v>
      </c>
      <c r="J270" s="15" t="s">
        <v>740</v>
      </c>
      <c r="K270" s="34">
        <v>0</v>
      </c>
      <c r="L270" s="10">
        <f>K270*2</f>
        <v>0</v>
      </c>
      <c r="M270" s="11"/>
      <c r="N270" s="5" t="s">
        <v>727</v>
      </c>
      <c r="O270" s="17" t="s">
        <v>828</v>
      </c>
      <c r="P270" s="17" t="s">
        <v>828</v>
      </c>
      <c r="Q270" s="8"/>
      <c r="R270" s="8"/>
    </row>
    <row r="271" spans="1:18" x14ac:dyDescent="0.25">
      <c r="A271" s="5" t="s">
        <v>192</v>
      </c>
      <c r="B271" s="5" t="s">
        <v>193</v>
      </c>
      <c r="C271" s="6">
        <v>45314</v>
      </c>
      <c r="D271" s="5" t="s">
        <v>589</v>
      </c>
      <c r="E271" s="7" t="s">
        <v>580</v>
      </c>
      <c r="F271" s="5" t="s">
        <v>603</v>
      </c>
      <c r="G271" s="5" t="s">
        <v>847</v>
      </c>
      <c r="H271" s="5" t="s">
        <v>847</v>
      </c>
      <c r="I271" s="9" t="s">
        <v>725</v>
      </c>
      <c r="J271" s="5" t="s">
        <v>730</v>
      </c>
      <c r="K271" s="10">
        <v>5</v>
      </c>
      <c r="L271" s="10">
        <f>K271*2</f>
        <v>10</v>
      </c>
      <c r="M271" s="11"/>
      <c r="N271" s="5" t="s">
        <v>727</v>
      </c>
      <c r="O271" s="5"/>
      <c r="P271" s="5"/>
      <c r="Q271" s="8"/>
      <c r="R271" s="8"/>
    </row>
    <row r="272" spans="1:18" x14ac:dyDescent="0.25">
      <c r="A272" s="19" t="s">
        <v>549</v>
      </c>
      <c r="B272" s="5" t="s">
        <v>550</v>
      </c>
      <c r="C272" s="6" t="s">
        <v>708</v>
      </c>
      <c r="D272" s="5" t="s">
        <v>660</v>
      </c>
      <c r="E272" s="13" t="s">
        <v>580</v>
      </c>
      <c r="F272" s="5" t="s">
        <v>604</v>
      </c>
      <c r="G272" s="5" t="s">
        <v>583</v>
      </c>
      <c r="H272" s="5" t="s">
        <v>583</v>
      </c>
      <c r="I272" s="9" t="s">
        <v>725</v>
      </c>
      <c r="J272" s="5" t="s">
        <v>819</v>
      </c>
      <c r="K272" s="20">
        <f>6.15</f>
        <v>6.15</v>
      </c>
      <c r="L272" s="10">
        <f>K272*2</f>
        <v>12.3</v>
      </c>
      <c r="M272" s="11"/>
      <c r="N272" s="5" t="s">
        <v>727</v>
      </c>
      <c r="O272" s="12">
        <v>45870</v>
      </c>
      <c r="P272" s="12">
        <v>45870</v>
      </c>
      <c r="Q272" s="8"/>
      <c r="R272" s="8"/>
    </row>
    <row r="273" spans="1:18" x14ac:dyDescent="0.25">
      <c r="A273" s="21" t="s">
        <v>202</v>
      </c>
      <c r="B273" s="5" t="s">
        <v>250</v>
      </c>
      <c r="C273" s="6">
        <v>45419</v>
      </c>
      <c r="D273" s="14" t="s">
        <v>584</v>
      </c>
      <c r="E273" s="14" t="s">
        <v>600</v>
      </c>
      <c r="F273" s="8" t="s">
        <v>601</v>
      </c>
      <c r="G273" s="5" t="s">
        <v>649</v>
      </c>
      <c r="H273" s="5" t="s">
        <v>626</v>
      </c>
      <c r="I273" s="9" t="s">
        <v>725</v>
      </c>
      <c r="J273" s="15" t="s">
        <v>733</v>
      </c>
      <c r="K273" s="16">
        <v>500</v>
      </c>
      <c r="L273" s="10">
        <f>K273*1</f>
        <v>500</v>
      </c>
      <c r="M273" s="16"/>
      <c r="N273" s="5" t="s">
        <v>727</v>
      </c>
      <c r="O273" s="12">
        <v>45870</v>
      </c>
      <c r="P273" s="12">
        <v>45870</v>
      </c>
      <c r="Q273" s="8"/>
      <c r="R273" s="8"/>
    </row>
    <row r="274" spans="1:18" x14ac:dyDescent="0.25">
      <c r="A274" s="21" t="s">
        <v>212</v>
      </c>
      <c r="B274" s="5" t="s">
        <v>238</v>
      </c>
      <c r="C274" s="6">
        <v>45368</v>
      </c>
      <c r="D274" s="6" t="s">
        <v>644</v>
      </c>
      <c r="E274" s="13" t="s">
        <v>580</v>
      </c>
      <c r="F274" s="8" t="s">
        <v>594</v>
      </c>
      <c r="G274" s="5" t="s">
        <v>645</v>
      </c>
      <c r="H274" s="5" t="s">
        <v>645</v>
      </c>
      <c r="I274" s="9" t="s">
        <v>725</v>
      </c>
      <c r="J274" s="5" t="s">
        <v>730</v>
      </c>
      <c r="K274" s="20">
        <v>5</v>
      </c>
      <c r="L274" s="10">
        <f>K274*2</f>
        <v>10</v>
      </c>
      <c r="M274" s="11"/>
      <c r="N274" s="5" t="s">
        <v>727</v>
      </c>
      <c r="O274" s="12">
        <v>45870</v>
      </c>
      <c r="P274" s="12">
        <v>45870</v>
      </c>
      <c r="Q274" s="8"/>
      <c r="R274" s="8"/>
    </row>
    <row r="275" spans="1:18" x14ac:dyDescent="0.25">
      <c r="A275" s="17" t="s">
        <v>188</v>
      </c>
      <c r="B275" s="9" t="s">
        <v>189</v>
      </c>
      <c r="C275" s="14">
        <v>45274</v>
      </c>
      <c r="D275" s="14" t="s">
        <v>617</v>
      </c>
      <c r="E275" s="13" t="s">
        <v>580</v>
      </c>
      <c r="F275" s="5" t="s">
        <v>632</v>
      </c>
      <c r="G275" s="9" t="s">
        <v>636</v>
      </c>
      <c r="H275" s="9" t="s">
        <v>618</v>
      </c>
      <c r="I275" s="9" t="s">
        <v>725</v>
      </c>
      <c r="J275" s="9" t="s">
        <v>745</v>
      </c>
      <c r="K275" s="11">
        <v>6.75</v>
      </c>
      <c r="L275" s="10">
        <f>K275*2</f>
        <v>13.5</v>
      </c>
      <c r="M275" s="11"/>
      <c r="N275" s="5" t="s">
        <v>727</v>
      </c>
      <c r="O275" s="6">
        <v>45870</v>
      </c>
      <c r="P275" s="12">
        <v>45870</v>
      </c>
      <c r="Q275" s="8"/>
      <c r="R275" s="8"/>
    </row>
    <row r="276" spans="1:18" x14ac:dyDescent="0.25">
      <c r="A276" s="21" t="s">
        <v>367</v>
      </c>
      <c r="B276" s="5" t="s">
        <v>474</v>
      </c>
      <c r="C276" s="14">
        <v>45979</v>
      </c>
      <c r="D276" s="5" t="s">
        <v>661</v>
      </c>
      <c r="E276" s="13" t="s">
        <v>580</v>
      </c>
      <c r="F276" s="8" t="s">
        <v>594</v>
      </c>
      <c r="G276" s="5" t="s">
        <v>625</v>
      </c>
      <c r="H276" s="9" t="s">
        <v>861</v>
      </c>
      <c r="I276" s="9" t="s">
        <v>725</v>
      </c>
      <c r="J276" s="5" t="s">
        <v>796</v>
      </c>
      <c r="K276" s="20">
        <f>5.2+3.7</f>
        <v>8.9</v>
      </c>
      <c r="L276" s="10">
        <f>K276*2</f>
        <v>17.8</v>
      </c>
      <c r="M276" s="11" t="s">
        <v>717</v>
      </c>
      <c r="N276" s="5" t="s">
        <v>727</v>
      </c>
      <c r="O276" s="6">
        <v>45992</v>
      </c>
      <c r="P276" s="6">
        <v>45992</v>
      </c>
      <c r="Q276" s="8"/>
      <c r="R276" s="6">
        <v>45993</v>
      </c>
    </row>
    <row r="277" spans="1:18" x14ac:dyDescent="0.25">
      <c r="A277" s="21" t="s">
        <v>367</v>
      </c>
      <c r="B277" s="5" t="s">
        <v>379</v>
      </c>
      <c r="C277" s="14">
        <v>45870</v>
      </c>
      <c r="D277" s="5" t="s">
        <v>661</v>
      </c>
      <c r="E277" s="13" t="s">
        <v>580</v>
      </c>
      <c r="F277" s="8" t="s">
        <v>662</v>
      </c>
      <c r="G277" s="5" t="s">
        <v>625</v>
      </c>
      <c r="H277" s="9" t="s">
        <v>861</v>
      </c>
      <c r="I277" s="9" t="s">
        <v>725</v>
      </c>
      <c r="J277" s="5" t="s">
        <v>730</v>
      </c>
      <c r="K277" s="20">
        <v>5</v>
      </c>
      <c r="L277" s="10">
        <f>K277*2</f>
        <v>10</v>
      </c>
      <c r="M277" s="11"/>
      <c r="N277" s="5" t="s">
        <v>727</v>
      </c>
      <c r="O277" s="21"/>
      <c r="P277" s="21"/>
      <c r="Q277" s="8"/>
      <c r="R277" s="8"/>
    </row>
    <row r="278" spans="1:18" x14ac:dyDescent="0.25">
      <c r="A278" s="21" t="s">
        <v>367</v>
      </c>
      <c r="B278" s="5" t="s">
        <v>378</v>
      </c>
      <c r="C278" s="14">
        <v>45870</v>
      </c>
      <c r="D278" s="5" t="s">
        <v>661</v>
      </c>
      <c r="E278" s="5" t="s">
        <v>641</v>
      </c>
      <c r="F278" s="5" t="s">
        <v>642</v>
      </c>
      <c r="G278" s="5" t="s">
        <v>625</v>
      </c>
      <c r="H278" s="9" t="s">
        <v>861</v>
      </c>
      <c r="I278" s="9" t="s">
        <v>725</v>
      </c>
      <c r="J278" s="5" t="s">
        <v>730</v>
      </c>
      <c r="K278" s="20">
        <v>5</v>
      </c>
      <c r="L278" s="10">
        <f>K278*2</f>
        <v>10</v>
      </c>
      <c r="M278" s="11"/>
      <c r="N278" s="5" t="s">
        <v>727</v>
      </c>
      <c r="O278" s="21"/>
      <c r="P278" s="21"/>
      <c r="Q278" s="8"/>
      <c r="R278" s="8"/>
    </row>
    <row r="279" spans="1:18" x14ac:dyDescent="0.25">
      <c r="A279" s="5" t="s">
        <v>106</v>
      </c>
      <c r="B279" s="5" t="s">
        <v>107</v>
      </c>
      <c r="C279" s="6">
        <v>44371</v>
      </c>
      <c r="D279" s="5" t="s">
        <v>589</v>
      </c>
      <c r="E279" s="7" t="s">
        <v>592</v>
      </c>
      <c r="F279" s="5" t="s">
        <v>593</v>
      </c>
      <c r="G279" s="5" t="s">
        <v>847</v>
      </c>
      <c r="H279" s="5" t="s">
        <v>847</v>
      </c>
      <c r="I279" s="9" t="s">
        <v>725</v>
      </c>
      <c r="J279" s="5" t="s">
        <v>730</v>
      </c>
      <c r="K279" s="10">
        <v>5</v>
      </c>
      <c r="L279" s="10">
        <f>K279*2</f>
        <v>10</v>
      </c>
      <c r="M279" s="11"/>
      <c r="N279" s="5" t="s">
        <v>727</v>
      </c>
      <c r="O279" s="5"/>
      <c r="P279" s="5"/>
      <c r="Q279" s="8"/>
      <c r="R279" s="8"/>
    </row>
    <row r="280" spans="1:18" x14ac:dyDescent="0.25">
      <c r="A280" s="21" t="s">
        <v>90</v>
      </c>
      <c r="B280" s="5" t="s">
        <v>91</v>
      </c>
      <c r="C280" s="6">
        <v>44139</v>
      </c>
      <c r="D280" s="5" t="s">
        <v>605</v>
      </c>
      <c r="E280" s="14" t="s">
        <v>592</v>
      </c>
      <c r="F280" s="5" t="s">
        <v>593</v>
      </c>
      <c r="G280" s="5" t="s">
        <v>606</v>
      </c>
      <c r="H280" s="5" t="s">
        <v>606</v>
      </c>
      <c r="I280" s="9" t="s">
        <v>725</v>
      </c>
      <c r="J280" s="5" t="s">
        <v>754</v>
      </c>
      <c r="K280" s="20">
        <f>5+5.65</f>
        <v>10.65</v>
      </c>
      <c r="L280" s="10">
        <f>K280*2</f>
        <v>21.3</v>
      </c>
      <c r="M280" s="11"/>
      <c r="N280" s="5" t="s">
        <v>727</v>
      </c>
      <c r="O280" s="6">
        <v>45870</v>
      </c>
      <c r="P280" s="12">
        <v>45870</v>
      </c>
      <c r="Q280" s="8"/>
      <c r="R280" s="8"/>
    </row>
    <row r="281" spans="1:18" x14ac:dyDescent="0.25">
      <c r="A281" s="13" t="s">
        <v>521</v>
      </c>
      <c r="B281" s="5" t="s">
        <v>522</v>
      </c>
      <c r="C281" s="6" t="s">
        <v>691</v>
      </c>
      <c r="D281" s="5" t="s">
        <v>607</v>
      </c>
      <c r="E281" s="9" t="s">
        <v>580</v>
      </c>
      <c r="F281" s="5" t="s">
        <v>692</v>
      </c>
      <c r="G281" s="9" t="s">
        <v>590</v>
      </c>
      <c r="H281" s="9" t="s">
        <v>590</v>
      </c>
      <c r="I281" s="9" t="s">
        <v>725</v>
      </c>
      <c r="J281" s="5" t="s">
        <v>739</v>
      </c>
      <c r="K281" s="20">
        <f>4.65</f>
        <v>4.6500000000000004</v>
      </c>
      <c r="L281" s="10">
        <f>K281*2</f>
        <v>9.3000000000000007</v>
      </c>
      <c r="M281" s="11"/>
      <c r="N281" s="5" t="s">
        <v>727</v>
      </c>
      <c r="O281" s="12">
        <v>45870</v>
      </c>
      <c r="P281" s="12">
        <v>45870</v>
      </c>
      <c r="Q281" s="8"/>
      <c r="R281" s="8"/>
    </row>
    <row r="282" spans="1:18" x14ac:dyDescent="0.25">
      <c r="A282" s="21" t="s">
        <v>431</v>
      </c>
      <c r="B282" s="5" t="s">
        <v>432</v>
      </c>
      <c r="C282" s="6">
        <v>45936</v>
      </c>
      <c r="D282" s="6" t="s">
        <v>591</v>
      </c>
      <c r="E282" s="9" t="s">
        <v>650</v>
      </c>
      <c r="F282" s="5" t="s">
        <v>651</v>
      </c>
      <c r="G282" s="9" t="s">
        <v>588</v>
      </c>
      <c r="H282" s="5" t="s">
        <v>588</v>
      </c>
      <c r="I282" s="9" t="s">
        <v>725</v>
      </c>
      <c r="J282" s="5" t="s">
        <v>730</v>
      </c>
      <c r="K282" s="16">
        <v>5</v>
      </c>
      <c r="L282" s="10">
        <f>K282*2</f>
        <v>10</v>
      </c>
      <c r="M282" s="11"/>
      <c r="N282" s="5" t="s">
        <v>727</v>
      </c>
      <c r="O282" s="6">
        <v>45933</v>
      </c>
      <c r="P282" s="6">
        <v>45933</v>
      </c>
      <c r="Q282" s="8"/>
      <c r="R282" s="8"/>
    </row>
    <row r="283" spans="1:18" x14ac:dyDescent="0.25">
      <c r="A283" s="19" t="s">
        <v>505</v>
      </c>
      <c r="B283" s="5" t="s">
        <v>506</v>
      </c>
      <c r="C283" s="6" t="s">
        <v>683</v>
      </c>
      <c r="D283" s="5" t="s">
        <v>666</v>
      </c>
      <c r="E283" s="13" t="s">
        <v>580</v>
      </c>
      <c r="F283" s="5" t="s">
        <v>604</v>
      </c>
      <c r="G283" s="5" t="s">
        <v>665</v>
      </c>
      <c r="H283" s="5" t="s">
        <v>665</v>
      </c>
      <c r="I283" s="9" t="s">
        <v>725</v>
      </c>
      <c r="J283" s="5" t="s">
        <v>811</v>
      </c>
      <c r="K283" s="16">
        <v>6.75</v>
      </c>
      <c r="L283" s="10">
        <f>K283*2</f>
        <v>13.5</v>
      </c>
      <c r="M283" s="11"/>
      <c r="N283" s="5" t="s">
        <v>727</v>
      </c>
      <c r="O283" s="12">
        <v>45870</v>
      </c>
      <c r="P283" s="12">
        <v>45870</v>
      </c>
      <c r="Q283" s="8"/>
      <c r="R283" s="8"/>
    </row>
    <row r="284" spans="1:18" x14ac:dyDescent="0.25">
      <c r="A284" s="19" t="s">
        <v>559</v>
      </c>
      <c r="B284" s="5" t="s">
        <v>560</v>
      </c>
      <c r="C284" s="6" t="s">
        <v>712</v>
      </c>
      <c r="D284" s="5" t="s">
        <v>666</v>
      </c>
      <c r="E284" s="5" t="s">
        <v>621</v>
      </c>
      <c r="F284" s="8" t="s">
        <v>713</v>
      </c>
      <c r="G284" s="5" t="s">
        <v>665</v>
      </c>
      <c r="H284" s="5" t="s">
        <v>665</v>
      </c>
      <c r="I284" s="9" t="s">
        <v>725</v>
      </c>
      <c r="J284" s="5" t="s">
        <v>803</v>
      </c>
      <c r="K284" s="20">
        <f>5.8</f>
        <v>5.8</v>
      </c>
      <c r="L284" s="10">
        <f>K284*2</f>
        <v>11.6</v>
      </c>
      <c r="M284" s="11"/>
      <c r="N284" s="5" t="s">
        <v>727</v>
      </c>
      <c r="O284" s="12">
        <v>45870</v>
      </c>
      <c r="P284" s="12">
        <v>45870</v>
      </c>
      <c r="Q284" s="8"/>
      <c r="R284" s="8"/>
    </row>
    <row r="285" spans="1:18" x14ac:dyDescent="0.25">
      <c r="A285" s="5" t="s">
        <v>164</v>
      </c>
      <c r="B285" s="5" t="s">
        <v>165</v>
      </c>
      <c r="C285" s="6">
        <v>45155</v>
      </c>
      <c r="D285" s="5" t="s">
        <v>596</v>
      </c>
      <c r="E285" s="7" t="s">
        <v>592</v>
      </c>
      <c r="F285" s="5" t="s">
        <v>593</v>
      </c>
      <c r="G285" s="5" t="s">
        <v>856</v>
      </c>
      <c r="H285" s="5" t="s">
        <v>856</v>
      </c>
      <c r="I285" s="9" t="s">
        <v>725</v>
      </c>
      <c r="J285" s="5" t="s">
        <v>730</v>
      </c>
      <c r="K285" s="10">
        <v>5</v>
      </c>
      <c r="L285" s="10">
        <f>K285*2</f>
        <v>10</v>
      </c>
      <c r="M285" s="26"/>
      <c r="N285" s="5" t="s">
        <v>727</v>
      </c>
      <c r="O285" s="6">
        <v>45870</v>
      </c>
      <c r="P285" s="6">
        <v>45870</v>
      </c>
      <c r="Q285" s="8"/>
      <c r="R285" s="8"/>
    </row>
    <row r="286" spans="1:18" x14ac:dyDescent="0.25">
      <c r="A286" s="5" t="s">
        <v>80</v>
      </c>
      <c r="B286" s="5" t="s">
        <v>81</v>
      </c>
      <c r="C286" s="6">
        <v>43740</v>
      </c>
      <c r="D286" s="5" t="s">
        <v>589</v>
      </c>
      <c r="E286" s="7" t="s">
        <v>580</v>
      </c>
      <c r="F286" s="8" t="s">
        <v>594</v>
      </c>
      <c r="G286" s="5" t="s">
        <v>847</v>
      </c>
      <c r="H286" s="5" t="s">
        <v>847</v>
      </c>
      <c r="I286" s="9" t="s">
        <v>725</v>
      </c>
      <c r="J286" s="5" t="s">
        <v>730</v>
      </c>
      <c r="K286" s="10">
        <v>5</v>
      </c>
      <c r="L286" s="10">
        <f>K286*2</f>
        <v>10</v>
      </c>
      <c r="M286" s="11"/>
      <c r="N286" s="5" t="s">
        <v>727</v>
      </c>
      <c r="O286" s="5"/>
      <c r="P286" s="5"/>
      <c r="Q286" s="8"/>
      <c r="R286" s="8"/>
    </row>
    <row r="287" spans="1:18" x14ac:dyDescent="0.25">
      <c r="A287" s="17" t="s">
        <v>10</v>
      </c>
      <c r="B287" s="9" t="s">
        <v>11</v>
      </c>
      <c r="C287" s="14">
        <v>39022</v>
      </c>
      <c r="D287" s="14" t="s">
        <v>591</v>
      </c>
      <c r="E287" s="13" t="s">
        <v>580</v>
      </c>
      <c r="F287" s="8" t="s">
        <v>594</v>
      </c>
      <c r="G287" s="9" t="s">
        <v>588</v>
      </c>
      <c r="H287" s="9" t="s">
        <v>588</v>
      </c>
      <c r="I287" s="9" t="s">
        <v>725</v>
      </c>
      <c r="J287" s="5" t="s">
        <v>730</v>
      </c>
      <c r="K287" s="20">
        <v>5</v>
      </c>
      <c r="L287" s="10">
        <f>K287*2</f>
        <v>10</v>
      </c>
      <c r="M287" s="11" t="s">
        <v>717</v>
      </c>
      <c r="N287" s="5" t="s">
        <v>727</v>
      </c>
      <c r="O287" s="12">
        <v>45870</v>
      </c>
      <c r="P287" s="12">
        <v>45870</v>
      </c>
      <c r="Q287" s="8"/>
      <c r="R287" s="8"/>
    </row>
    <row r="288" spans="1:18" x14ac:dyDescent="0.25">
      <c r="A288" s="21" t="s">
        <v>212</v>
      </c>
      <c r="B288" s="9" t="s">
        <v>213</v>
      </c>
      <c r="C288" s="6">
        <v>45341</v>
      </c>
      <c r="D288" s="6" t="s">
        <v>639</v>
      </c>
      <c r="E288" s="5" t="s">
        <v>641</v>
      </c>
      <c r="F288" s="5" t="s">
        <v>642</v>
      </c>
      <c r="G288" s="5" t="s">
        <v>626</v>
      </c>
      <c r="H288" s="5" t="s">
        <v>626</v>
      </c>
      <c r="I288" s="9" t="s">
        <v>725</v>
      </c>
      <c r="J288" s="5" t="s">
        <v>730</v>
      </c>
      <c r="K288" s="20">
        <v>5</v>
      </c>
      <c r="L288" s="10">
        <f>K288*2</f>
        <v>10</v>
      </c>
      <c r="M288" s="11"/>
      <c r="N288" s="5" t="s">
        <v>727</v>
      </c>
      <c r="O288" s="12">
        <v>45870</v>
      </c>
      <c r="P288" s="12">
        <v>45870</v>
      </c>
      <c r="Q288" s="8"/>
      <c r="R288" s="8"/>
    </row>
    <row r="289" spans="1:18" x14ac:dyDescent="0.25">
      <c r="A289" s="21" t="s">
        <v>219</v>
      </c>
      <c r="B289" s="5" t="s">
        <v>220</v>
      </c>
      <c r="C289" s="6">
        <v>45343</v>
      </c>
      <c r="D289" s="6" t="s">
        <v>644</v>
      </c>
      <c r="E289" s="6" t="s">
        <v>615</v>
      </c>
      <c r="F289" s="5" t="s">
        <v>616</v>
      </c>
      <c r="G289" s="5" t="s">
        <v>645</v>
      </c>
      <c r="H289" s="5" t="s">
        <v>645</v>
      </c>
      <c r="I289" s="9" t="s">
        <v>725</v>
      </c>
      <c r="J289" s="5" t="s">
        <v>730</v>
      </c>
      <c r="K289" s="20">
        <v>5</v>
      </c>
      <c r="L289" s="10">
        <f>K289*2</f>
        <v>10</v>
      </c>
      <c r="M289" s="11"/>
      <c r="N289" s="5" t="s">
        <v>727</v>
      </c>
      <c r="O289" s="12">
        <v>45870</v>
      </c>
      <c r="P289" s="12">
        <v>45870</v>
      </c>
      <c r="Q289" s="8"/>
      <c r="R289" s="8"/>
    </row>
    <row r="290" spans="1:18" x14ac:dyDescent="0.25">
      <c r="A290" s="21" t="s">
        <v>365</v>
      </c>
      <c r="B290" s="9" t="s">
        <v>366</v>
      </c>
      <c r="C290" s="14">
        <v>45869</v>
      </c>
      <c r="D290" s="28" t="s">
        <v>637</v>
      </c>
      <c r="E290" s="13" t="s">
        <v>580</v>
      </c>
      <c r="F290" s="8" t="s">
        <v>633</v>
      </c>
      <c r="G290" s="9" t="s">
        <v>638</v>
      </c>
      <c r="H290" s="9" t="s">
        <v>638</v>
      </c>
      <c r="I290" s="9" t="s">
        <v>725</v>
      </c>
      <c r="J290" s="5" t="s">
        <v>730</v>
      </c>
      <c r="K290" s="20">
        <v>5</v>
      </c>
      <c r="L290" s="10">
        <f>K290*2</f>
        <v>10</v>
      </c>
      <c r="M290" s="11"/>
      <c r="N290" s="5" t="s">
        <v>727</v>
      </c>
      <c r="O290" s="17" t="s">
        <v>825</v>
      </c>
      <c r="P290" s="17" t="s">
        <v>825</v>
      </c>
      <c r="Q290" s="8"/>
      <c r="R290" s="8"/>
    </row>
    <row r="291" spans="1:18" x14ac:dyDescent="0.25">
      <c r="A291" s="19" t="s">
        <v>489</v>
      </c>
      <c r="B291" s="5" t="s">
        <v>490</v>
      </c>
      <c r="C291" s="6" t="s">
        <v>676</v>
      </c>
      <c r="D291" s="5" t="s">
        <v>660</v>
      </c>
      <c r="E291" s="13" t="s">
        <v>580</v>
      </c>
      <c r="F291" s="8" t="s">
        <v>594</v>
      </c>
      <c r="G291" s="5" t="s">
        <v>583</v>
      </c>
      <c r="H291" s="5" t="s">
        <v>583</v>
      </c>
      <c r="I291" s="9" t="s">
        <v>725</v>
      </c>
      <c r="J291" s="5" t="s">
        <v>805</v>
      </c>
      <c r="K291" s="20">
        <f>5.8</f>
        <v>5.8</v>
      </c>
      <c r="L291" s="10">
        <f>K291*2</f>
        <v>11.6</v>
      </c>
      <c r="M291" s="11"/>
      <c r="N291" s="5" t="s">
        <v>727</v>
      </c>
      <c r="O291" s="12">
        <v>45870</v>
      </c>
      <c r="P291" s="12">
        <v>45870</v>
      </c>
      <c r="Q291" s="8"/>
      <c r="R291" s="8"/>
    </row>
    <row r="292" spans="1:18" x14ac:dyDescent="0.25">
      <c r="A292" s="5" t="s">
        <v>344</v>
      </c>
      <c r="B292" s="5" t="s">
        <v>345</v>
      </c>
      <c r="C292" s="6">
        <v>45832</v>
      </c>
      <c r="D292" s="5" t="s">
        <v>596</v>
      </c>
      <c r="E292" s="7" t="s">
        <v>592</v>
      </c>
      <c r="F292" s="5" t="s">
        <v>593</v>
      </c>
      <c r="G292" s="5" t="s">
        <v>597</v>
      </c>
      <c r="H292" s="5" t="s">
        <v>597</v>
      </c>
      <c r="I292" s="9" t="s">
        <v>725</v>
      </c>
      <c r="J292" s="5" t="s">
        <v>730</v>
      </c>
      <c r="K292" s="10">
        <v>5</v>
      </c>
      <c r="L292" s="10">
        <f>K292*2</f>
        <v>10</v>
      </c>
      <c r="M292" s="11"/>
      <c r="N292" s="5" t="s">
        <v>727</v>
      </c>
      <c r="O292" s="6">
        <v>45870</v>
      </c>
      <c r="P292" s="12">
        <v>45870</v>
      </c>
      <c r="Q292" s="8"/>
      <c r="R292" s="8"/>
    </row>
    <row r="293" spans="1:18" x14ac:dyDescent="0.25">
      <c r="A293" s="17" t="s">
        <v>98</v>
      </c>
      <c r="B293" s="9" t="s">
        <v>99</v>
      </c>
      <c r="C293" s="14">
        <v>44347</v>
      </c>
      <c r="D293" s="14" t="s">
        <v>617</v>
      </c>
      <c r="E293" s="14" t="s">
        <v>592</v>
      </c>
      <c r="F293" s="5" t="s">
        <v>593</v>
      </c>
      <c r="G293" s="9" t="s">
        <v>618</v>
      </c>
      <c r="H293" s="9" t="s">
        <v>618</v>
      </c>
      <c r="I293" s="9" t="s">
        <v>725</v>
      </c>
      <c r="J293" s="9" t="s">
        <v>745</v>
      </c>
      <c r="K293" s="11">
        <f>5.95+6.05</f>
        <v>12</v>
      </c>
      <c r="L293" s="10">
        <f>K293*2</f>
        <v>24</v>
      </c>
      <c r="M293" s="11"/>
      <c r="N293" s="5" t="s">
        <v>727</v>
      </c>
      <c r="O293" s="6">
        <v>45870</v>
      </c>
      <c r="P293" s="12">
        <v>45870</v>
      </c>
      <c r="Q293" s="8"/>
      <c r="R293" s="8"/>
    </row>
    <row r="294" spans="1:18" x14ac:dyDescent="0.25">
      <c r="A294" s="19" t="s">
        <v>535</v>
      </c>
      <c r="B294" s="5" t="s">
        <v>536</v>
      </c>
      <c r="C294" s="6" t="s">
        <v>700</v>
      </c>
      <c r="D294" s="5" t="s">
        <v>660</v>
      </c>
      <c r="E294" s="13" t="s">
        <v>580</v>
      </c>
      <c r="F294" s="8" t="s">
        <v>594</v>
      </c>
      <c r="G294" s="5" t="s">
        <v>583</v>
      </c>
      <c r="H294" s="5" t="s">
        <v>583</v>
      </c>
      <c r="I294" s="9" t="s">
        <v>725</v>
      </c>
      <c r="J294" s="5" t="s">
        <v>805</v>
      </c>
      <c r="K294" s="20">
        <f>5.8</f>
        <v>5.8</v>
      </c>
      <c r="L294" s="10">
        <f>K294*2</f>
        <v>11.6</v>
      </c>
      <c r="M294" s="11"/>
      <c r="N294" s="5" t="s">
        <v>727</v>
      </c>
      <c r="O294" s="12">
        <v>45870</v>
      </c>
      <c r="P294" s="12">
        <v>45870</v>
      </c>
      <c r="Q294" s="8"/>
      <c r="R294" s="8"/>
    </row>
    <row r="295" spans="1:18" x14ac:dyDescent="0.25">
      <c r="A295" s="17" t="s">
        <v>26</v>
      </c>
      <c r="B295" s="9" t="s">
        <v>27</v>
      </c>
      <c r="C295" s="14">
        <v>40413</v>
      </c>
      <c r="D295" s="14" t="s">
        <v>591</v>
      </c>
      <c r="E295" s="14" t="s">
        <v>592</v>
      </c>
      <c r="F295" s="5" t="s">
        <v>593</v>
      </c>
      <c r="G295" s="9" t="s">
        <v>588</v>
      </c>
      <c r="H295" s="9" t="s">
        <v>588</v>
      </c>
      <c r="I295" s="9" t="s">
        <v>725</v>
      </c>
      <c r="J295" s="15" t="s">
        <v>735</v>
      </c>
      <c r="K295" s="16">
        <v>5.49</v>
      </c>
      <c r="L295" s="10">
        <f>K295*2</f>
        <v>10.98</v>
      </c>
      <c r="M295" s="11"/>
      <c r="N295" s="5" t="s">
        <v>727</v>
      </c>
      <c r="O295" s="12">
        <v>45870</v>
      </c>
      <c r="P295" s="12">
        <v>45870</v>
      </c>
      <c r="Q295" s="8"/>
      <c r="R295" s="8"/>
    </row>
    <row r="296" spans="1:18" x14ac:dyDescent="0.25">
      <c r="A296" s="21" t="s">
        <v>205</v>
      </c>
      <c r="B296" s="9" t="s">
        <v>214</v>
      </c>
      <c r="C296" s="14">
        <v>45341</v>
      </c>
      <c r="D296" s="14" t="s">
        <v>637</v>
      </c>
      <c r="E296" s="9" t="s">
        <v>641</v>
      </c>
      <c r="F296" s="9" t="s">
        <v>643</v>
      </c>
      <c r="G296" s="9" t="s">
        <v>638</v>
      </c>
      <c r="H296" s="9" t="s">
        <v>638</v>
      </c>
      <c r="I296" s="9" t="s">
        <v>725</v>
      </c>
      <c r="J296" s="5" t="s">
        <v>730</v>
      </c>
      <c r="K296" s="20">
        <v>5</v>
      </c>
      <c r="L296" s="10">
        <f>K296*2</f>
        <v>10</v>
      </c>
      <c r="M296" s="11"/>
      <c r="N296" s="5" t="s">
        <v>727</v>
      </c>
      <c r="O296" s="12">
        <v>45870</v>
      </c>
      <c r="P296" s="12">
        <v>45870</v>
      </c>
      <c r="Q296" s="8"/>
      <c r="R296" s="8"/>
    </row>
    <row r="297" spans="1:18" x14ac:dyDescent="0.25">
      <c r="A297" s="21" t="s">
        <v>148</v>
      </c>
      <c r="B297" s="5" t="s">
        <v>149</v>
      </c>
      <c r="C297" s="6">
        <v>44931</v>
      </c>
      <c r="D297" s="5" t="s">
        <v>602</v>
      </c>
      <c r="E297" s="14" t="s">
        <v>592</v>
      </c>
      <c r="F297" s="5" t="s">
        <v>593</v>
      </c>
      <c r="G297" s="5" t="s">
        <v>858</v>
      </c>
      <c r="H297" s="5" t="s">
        <v>856</v>
      </c>
      <c r="I297" s="9" t="s">
        <v>725</v>
      </c>
      <c r="J297" s="5" t="s">
        <v>730</v>
      </c>
      <c r="K297" s="20">
        <v>5</v>
      </c>
      <c r="L297" s="10">
        <f>K297*2</f>
        <v>10</v>
      </c>
      <c r="M297" s="10"/>
      <c r="N297" s="5" t="s">
        <v>727</v>
      </c>
      <c r="O297" s="14">
        <v>45870</v>
      </c>
      <c r="P297" s="12">
        <v>45870</v>
      </c>
      <c r="Q297" s="8"/>
      <c r="R297" s="8"/>
    </row>
    <row r="298" spans="1:18" x14ac:dyDescent="0.25">
      <c r="A298" s="21" t="s">
        <v>367</v>
      </c>
      <c r="B298" s="5" t="s">
        <v>572</v>
      </c>
      <c r="C298" s="39" t="s">
        <v>717</v>
      </c>
      <c r="D298" s="5" t="s">
        <v>589</v>
      </c>
      <c r="E298" s="13"/>
      <c r="F298" s="5" t="s">
        <v>593</v>
      </c>
      <c r="G298" s="5" t="s">
        <v>847</v>
      </c>
      <c r="H298" s="5" t="s">
        <v>847</v>
      </c>
      <c r="I298" s="9" t="s">
        <v>725</v>
      </c>
      <c r="J298" s="5" t="s">
        <v>730</v>
      </c>
      <c r="K298" s="10">
        <v>5</v>
      </c>
      <c r="L298" s="10">
        <f>K298*2</f>
        <v>10</v>
      </c>
      <c r="M298" s="11"/>
      <c r="N298" s="5" t="s">
        <v>727</v>
      </c>
      <c r="O298" s="59" t="s">
        <v>845</v>
      </c>
      <c r="P298" s="59" t="s">
        <v>845</v>
      </c>
      <c r="Q298" s="60"/>
      <c r="R298" s="59" t="s">
        <v>845</v>
      </c>
    </row>
    <row r="299" spans="1:18" x14ac:dyDescent="0.25">
      <c r="A299" s="5" t="s">
        <v>332</v>
      </c>
      <c r="B299" s="5" t="s">
        <v>333</v>
      </c>
      <c r="C299" s="6">
        <v>45804</v>
      </c>
      <c r="D299" s="5" t="s">
        <v>596</v>
      </c>
      <c r="E299" s="7" t="s">
        <v>592</v>
      </c>
      <c r="F299" s="5" t="s">
        <v>593</v>
      </c>
      <c r="G299" s="5" t="s">
        <v>597</v>
      </c>
      <c r="H299" s="5" t="s">
        <v>597</v>
      </c>
      <c r="I299" s="9" t="s">
        <v>725</v>
      </c>
      <c r="J299" s="5" t="s">
        <v>730</v>
      </c>
      <c r="K299" s="10">
        <v>5</v>
      </c>
      <c r="L299" s="10">
        <f>K299*2</f>
        <v>10</v>
      </c>
      <c r="M299" s="11"/>
      <c r="N299" s="5" t="s">
        <v>727</v>
      </c>
      <c r="O299" s="6">
        <v>45870</v>
      </c>
      <c r="P299" s="12">
        <v>45870</v>
      </c>
      <c r="Q299" s="8"/>
      <c r="R299" s="8"/>
    </row>
    <row r="300" spans="1:18" x14ac:dyDescent="0.25">
      <c r="A300" s="17" t="s">
        <v>859</v>
      </c>
      <c r="B300" s="9" t="s">
        <v>265</v>
      </c>
      <c r="C300" s="14">
        <v>45497</v>
      </c>
      <c r="D300" s="6" t="s">
        <v>661</v>
      </c>
      <c r="E300" s="6" t="s">
        <v>615</v>
      </c>
      <c r="F300" s="5" t="s">
        <v>616</v>
      </c>
      <c r="G300" s="5" t="s">
        <v>625</v>
      </c>
      <c r="H300" s="9" t="s">
        <v>861</v>
      </c>
      <c r="I300" s="9" t="s">
        <v>725</v>
      </c>
      <c r="J300" s="5" t="s">
        <v>860</v>
      </c>
      <c r="K300" s="16">
        <v>8.9</v>
      </c>
      <c r="L300" s="10">
        <f>K300*2</f>
        <v>17.8</v>
      </c>
      <c r="M300" s="11"/>
      <c r="N300" s="5" t="s">
        <v>727</v>
      </c>
      <c r="O300" s="12">
        <v>45992</v>
      </c>
      <c r="P300" s="12">
        <v>45992</v>
      </c>
      <c r="Q300" s="8"/>
      <c r="R300" s="8"/>
    </row>
    <row r="301" spans="1:18" x14ac:dyDescent="0.25">
      <c r="A301" s="21" t="s">
        <v>274</v>
      </c>
      <c r="B301" s="9" t="s">
        <v>275</v>
      </c>
      <c r="C301" s="6">
        <v>45594</v>
      </c>
      <c r="D301" s="6" t="s">
        <v>639</v>
      </c>
      <c r="E301" s="14" t="s">
        <v>592</v>
      </c>
      <c r="F301" s="5" t="s">
        <v>593</v>
      </c>
      <c r="G301" s="5" t="s">
        <v>653</v>
      </c>
      <c r="H301" s="8" t="s">
        <v>599</v>
      </c>
      <c r="I301" s="9" t="s">
        <v>725</v>
      </c>
      <c r="J301" s="5" t="s">
        <v>730</v>
      </c>
      <c r="K301" s="20">
        <v>5</v>
      </c>
      <c r="L301" s="10">
        <f>K301*2</f>
        <v>10</v>
      </c>
      <c r="M301" s="11"/>
      <c r="N301" s="5" t="s">
        <v>727</v>
      </c>
      <c r="O301" s="12">
        <v>45870</v>
      </c>
      <c r="P301" s="12">
        <v>45870</v>
      </c>
      <c r="Q301" s="8"/>
      <c r="R301" s="8"/>
    </row>
    <row r="302" spans="1:18" x14ac:dyDescent="0.25">
      <c r="A302" s="17" t="s">
        <v>231</v>
      </c>
      <c r="B302" s="5" t="s">
        <v>232</v>
      </c>
      <c r="C302" s="14">
        <v>45362</v>
      </c>
      <c r="D302" s="14" t="s">
        <v>584</v>
      </c>
      <c r="E302" s="14" t="s">
        <v>647</v>
      </c>
      <c r="F302" s="8" t="s">
        <v>648</v>
      </c>
      <c r="G302" s="9" t="s">
        <v>599</v>
      </c>
      <c r="H302" s="8" t="s">
        <v>599</v>
      </c>
      <c r="I302" s="9" t="s">
        <v>725</v>
      </c>
      <c r="J302" s="15" t="s">
        <v>733</v>
      </c>
      <c r="K302" s="38">
        <v>300</v>
      </c>
      <c r="L302" s="10">
        <f>K302*1</f>
        <v>300</v>
      </c>
      <c r="M302" s="11" t="s">
        <v>727</v>
      </c>
      <c r="N302" s="5" t="s">
        <v>717</v>
      </c>
      <c r="O302" s="12">
        <v>45870</v>
      </c>
      <c r="P302" s="12">
        <v>45870</v>
      </c>
      <c r="Q302" s="8"/>
      <c r="R302" s="8"/>
    </row>
    <row r="303" spans="1:18" x14ac:dyDescent="0.25">
      <c r="A303" s="21" t="s">
        <v>346</v>
      </c>
      <c r="B303" s="5" t="s">
        <v>358</v>
      </c>
      <c r="C303" s="6">
        <v>45866</v>
      </c>
      <c r="D303" s="6" t="s">
        <v>657</v>
      </c>
      <c r="E303" s="14" t="s">
        <v>658</v>
      </c>
      <c r="F303" s="5" t="s">
        <v>659</v>
      </c>
      <c r="G303" s="9" t="s">
        <v>599</v>
      </c>
      <c r="H303" s="8" t="s">
        <v>599</v>
      </c>
      <c r="I303" s="9" t="s">
        <v>725</v>
      </c>
      <c r="J303" s="5" t="s">
        <v>730</v>
      </c>
      <c r="K303" s="20">
        <v>5</v>
      </c>
      <c r="L303" s="10">
        <f>K303*2</f>
        <v>10</v>
      </c>
      <c r="M303" s="11" t="s">
        <v>727</v>
      </c>
      <c r="N303" s="5" t="s">
        <v>717</v>
      </c>
      <c r="O303" s="12">
        <v>45870</v>
      </c>
      <c r="P303" s="12">
        <v>45870</v>
      </c>
      <c r="Q303" s="8"/>
      <c r="R303" s="8"/>
    </row>
    <row r="304" spans="1:18" x14ac:dyDescent="0.25">
      <c r="A304" s="17" t="s">
        <v>326</v>
      </c>
      <c r="B304" s="22" t="s">
        <v>341</v>
      </c>
      <c r="C304" s="6">
        <v>45824</v>
      </c>
      <c r="D304" s="25" t="s">
        <v>637</v>
      </c>
      <c r="E304" s="14" t="s">
        <v>592</v>
      </c>
      <c r="F304" s="5" t="s">
        <v>593</v>
      </c>
      <c r="G304" s="5" t="s">
        <v>638</v>
      </c>
      <c r="H304" s="5" t="s">
        <v>638</v>
      </c>
      <c r="I304" s="9" t="s">
        <v>725</v>
      </c>
      <c r="J304" s="5" t="s">
        <v>730</v>
      </c>
      <c r="K304" s="20">
        <v>5</v>
      </c>
      <c r="L304" s="10">
        <f>K304*2</f>
        <v>10</v>
      </c>
      <c r="M304" s="11"/>
      <c r="N304" s="5" t="s">
        <v>727</v>
      </c>
      <c r="O304" s="17" t="s">
        <v>825</v>
      </c>
      <c r="P304" s="17" t="s">
        <v>825</v>
      </c>
      <c r="Q304" s="8"/>
      <c r="R304" s="8"/>
    </row>
    <row r="305" spans="1:18" x14ac:dyDescent="0.25">
      <c r="A305" s="17" t="s">
        <v>62</v>
      </c>
      <c r="B305" s="9" t="s">
        <v>63</v>
      </c>
      <c r="C305" s="14">
        <v>42908</v>
      </c>
      <c r="D305" s="14" t="s">
        <v>617</v>
      </c>
      <c r="E305" s="14" t="s">
        <v>600</v>
      </c>
      <c r="F305" s="8" t="s">
        <v>601</v>
      </c>
      <c r="G305" s="9" t="s">
        <v>618</v>
      </c>
      <c r="H305" s="9" t="s">
        <v>618</v>
      </c>
      <c r="I305" s="9" t="s">
        <v>725</v>
      </c>
      <c r="J305" s="9" t="s">
        <v>745</v>
      </c>
      <c r="K305" s="11">
        <f>5.95+6.05</f>
        <v>12</v>
      </c>
      <c r="L305" s="10">
        <f>K305*2</f>
        <v>24</v>
      </c>
      <c r="M305" s="11"/>
      <c r="N305" s="5" t="s">
        <v>727</v>
      </c>
      <c r="O305" s="6">
        <v>45870</v>
      </c>
      <c r="P305" s="12">
        <v>45870</v>
      </c>
      <c r="Q305" s="8"/>
      <c r="R305" s="8"/>
    </row>
    <row r="306" spans="1:18" x14ac:dyDescent="0.25">
      <c r="A306" s="21" t="s">
        <v>158</v>
      </c>
      <c r="B306" s="5" t="s">
        <v>159</v>
      </c>
      <c r="C306" s="6">
        <v>45119</v>
      </c>
      <c r="D306" s="5" t="s">
        <v>602</v>
      </c>
      <c r="E306" s="6" t="s">
        <v>615</v>
      </c>
      <c r="F306" s="5" t="s">
        <v>616</v>
      </c>
      <c r="G306" s="5" t="s">
        <v>856</v>
      </c>
      <c r="H306" s="5" t="s">
        <v>856</v>
      </c>
      <c r="I306" s="9" t="s">
        <v>725</v>
      </c>
      <c r="J306" s="5" t="s">
        <v>734</v>
      </c>
      <c r="K306" s="20">
        <f>3.9+5</f>
        <v>8.9</v>
      </c>
      <c r="L306" s="10">
        <f>K306*2</f>
        <v>17.8</v>
      </c>
      <c r="M306" s="11"/>
      <c r="N306" s="5" t="s">
        <v>727</v>
      </c>
      <c r="O306" s="14">
        <v>45870</v>
      </c>
      <c r="P306" s="12">
        <v>45870</v>
      </c>
      <c r="Q306" s="8"/>
      <c r="R306" s="8"/>
    </row>
    <row r="307" spans="1:18" x14ac:dyDescent="0.25">
      <c r="A307" s="17" t="s">
        <v>22</v>
      </c>
      <c r="B307" s="9" t="s">
        <v>23</v>
      </c>
      <c r="C307" s="14">
        <v>40015</v>
      </c>
      <c r="D307" s="14" t="s">
        <v>584</v>
      </c>
      <c r="E307" s="14" t="s">
        <v>600</v>
      </c>
      <c r="F307" s="8" t="s">
        <v>601</v>
      </c>
      <c r="G307" s="9" t="s">
        <v>588</v>
      </c>
      <c r="H307" s="9" t="s">
        <v>588</v>
      </c>
      <c r="I307" s="9" t="s">
        <v>725</v>
      </c>
      <c r="J307" s="9" t="s">
        <v>733</v>
      </c>
      <c r="K307" s="16">
        <v>500</v>
      </c>
      <c r="L307" s="10">
        <f>K307*1</f>
        <v>500</v>
      </c>
      <c r="M307" s="11"/>
      <c r="N307" s="5" t="s">
        <v>727</v>
      </c>
      <c r="O307" s="12">
        <v>45870</v>
      </c>
      <c r="P307" s="12">
        <v>45870</v>
      </c>
      <c r="Q307" s="8"/>
      <c r="R307" s="8"/>
    </row>
    <row r="308" spans="1:18" x14ac:dyDescent="0.25">
      <c r="A308" s="19" t="s">
        <v>561</v>
      </c>
      <c r="B308" s="5" t="s">
        <v>562</v>
      </c>
      <c r="C308" s="6" t="s">
        <v>714</v>
      </c>
      <c r="D308" s="5" t="s">
        <v>666</v>
      </c>
      <c r="E308" s="13" t="s">
        <v>580</v>
      </c>
      <c r="F308" s="5" t="s">
        <v>604</v>
      </c>
      <c r="G308" s="5" t="s">
        <v>665</v>
      </c>
      <c r="H308" s="5" t="s">
        <v>665</v>
      </c>
      <c r="I308" s="9" t="s">
        <v>725</v>
      </c>
      <c r="J308" s="5" t="s">
        <v>803</v>
      </c>
      <c r="K308" s="20">
        <f>5.8</f>
        <v>5.8</v>
      </c>
      <c r="L308" s="10">
        <f>K308*2</f>
        <v>11.6</v>
      </c>
      <c r="M308" s="11"/>
      <c r="N308" s="5" t="s">
        <v>727</v>
      </c>
      <c r="O308" s="12">
        <v>45870</v>
      </c>
      <c r="P308" s="12">
        <v>45870</v>
      </c>
      <c r="Q308" s="8"/>
      <c r="R308" s="8"/>
    </row>
    <row r="309" spans="1:18" x14ac:dyDescent="0.25">
      <c r="A309" s="5" t="s">
        <v>354</v>
      </c>
      <c r="B309" s="5" t="s">
        <v>355</v>
      </c>
      <c r="C309" s="6">
        <v>45860</v>
      </c>
      <c r="D309" s="5" t="s">
        <v>589</v>
      </c>
      <c r="E309" s="7" t="s">
        <v>592</v>
      </c>
      <c r="F309" s="5" t="s">
        <v>593</v>
      </c>
      <c r="G309" s="5" t="s">
        <v>847</v>
      </c>
      <c r="H309" s="5" t="s">
        <v>847</v>
      </c>
      <c r="I309" s="9" t="s">
        <v>725</v>
      </c>
      <c r="J309" s="5" t="s">
        <v>748</v>
      </c>
      <c r="K309" s="10">
        <v>5.2</v>
      </c>
      <c r="L309" s="10">
        <f>K309*2</f>
        <v>10.4</v>
      </c>
      <c r="M309" s="11"/>
      <c r="N309" s="5" t="s">
        <v>727</v>
      </c>
      <c r="O309" s="6">
        <v>45870</v>
      </c>
      <c r="P309" s="12">
        <v>45870</v>
      </c>
      <c r="Q309" s="8"/>
      <c r="R309" s="8"/>
    </row>
    <row r="310" spans="1:18" x14ac:dyDescent="0.25">
      <c r="A310" s="21" t="s">
        <v>205</v>
      </c>
      <c r="B310" s="5" t="s">
        <v>221</v>
      </c>
      <c r="C310" s="6">
        <v>45343</v>
      </c>
      <c r="D310" s="6" t="s">
        <v>644</v>
      </c>
      <c r="E310" s="6" t="s">
        <v>615</v>
      </c>
      <c r="F310" s="5" t="s">
        <v>616</v>
      </c>
      <c r="G310" s="5" t="s">
        <v>646</v>
      </c>
      <c r="H310" s="5" t="s">
        <v>645</v>
      </c>
      <c r="I310" s="9" t="s">
        <v>725</v>
      </c>
      <c r="J310" s="5" t="s">
        <v>771</v>
      </c>
      <c r="K310" s="16">
        <f>5.2+3.7</f>
        <v>8.9</v>
      </c>
      <c r="L310" s="10">
        <f>K310*2</f>
        <v>17.8</v>
      </c>
      <c r="M310" s="11"/>
      <c r="N310" s="5" t="s">
        <v>727</v>
      </c>
      <c r="O310" s="12">
        <v>45870</v>
      </c>
      <c r="P310" s="12">
        <v>45870</v>
      </c>
      <c r="Q310" s="8"/>
      <c r="R310" s="8"/>
    </row>
    <row r="311" spans="1:18" x14ac:dyDescent="0.25">
      <c r="A311" s="17" t="s">
        <v>316</v>
      </c>
      <c r="B311" s="5" t="s">
        <v>320</v>
      </c>
      <c r="C311" s="6">
        <v>45759</v>
      </c>
      <c r="D311" s="6" t="s">
        <v>639</v>
      </c>
      <c r="E311" s="13" t="s">
        <v>580</v>
      </c>
      <c r="F311" s="5" t="s">
        <v>604</v>
      </c>
      <c r="G311" s="5" t="s">
        <v>626</v>
      </c>
      <c r="H311" s="5" t="s">
        <v>626</v>
      </c>
      <c r="I311" s="9" t="s">
        <v>725</v>
      </c>
      <c r="J311" s="5" t="s">
        <v>730</v>
      </c>
      <c r="K311" s="20">
        <v>5</v>
      </c>
      <c r="L311" s="10">
        <f>K311*2</f>
        <v>10</v>
      </c>
      <c r="M311" s="11"/>
      <c r="N311" s="5" t="s">
        <v>727</v>
      </c>
      <c r="O311" s="12">
        <v>45870</v>
      </c>
      <c r="P311" s="12">
        <v>45870</v>
      </c>
      <c r="Q311" s="8"/>
      <c r="R311" s="8"/>
    </row>
    <row r="312" spans="1:18" x14ac:dyDescent="0.25">
      <c r="A312" s="17" t="s">
        <v>251</v>
      </c>
      <c r="B312" s="9" t="s">
        <v>414</v>
      </c>
      <c r="C312" s="14">
        <v>45917</v>
      </c>
      <c r="D312" s="14" t="s">
        <v>584</v>
      </c>
      <c r="E312" s="5" t="s">
        <v>641</v>
      </c>
      <c r="F312" s="5" t="s">
        <v>642</v>
      </c>
      <c r="G312" s="5" t="s">
        <v>625</v>
      </c>
      <c r="H312" s="9" t="s">
        <v>861</v>
      </c>
      <c r="I312" s="9" t="s">
        <v>725</v>
      </c>
      <c r="J312" s="5" t="s">
        <v>730</v>
      </c>
      <c r="K312" s="20">
        <v>5</v>
      </c>
      <c r="L312" s="10">
        <f>K312*2</f>
        <v>10</v>
      </c>
      <c r="M312" s="11"/>
      <c r="N312" s="5" t="s">
        <v>727</v>
      </c>
      <c r="O312" s="42">
        <v>45933</v>
      </c>
      <c r="P312" s="42">
        <v>45933</v>
      </c>
      <c r="Q312" s="8"/>
      <c r="R312" s="8"/>
    </row>
    <row r="313" spans="1:18" x14ac:dyDescent="0.25">
      <c r="A313" s="21" t="s">
        <v>242</v>
      </c>
      <c r="B313" s="9" t="s">
        <v>253</v>
      </c>
      <c r="C313" s="6">
        <v>45422</v>
      </c>
      <c r="D313" s="6" t="s">
        <v>644</v>
      </c>
      <c r="E313" s="5" t="s">
        <v>641</v>
      </c>
      <c r="F313" s="5" t="s">
        <v>642</v>
      </c>
      <c r="G313" s="5" t="s">
        <v>645</v>
      </c>
      <c r="H313" s="5" t="s">
        <v>645</v>
      </c>
      <c r="I313" s="9" t="s">
        <v>725</v>
      </c>
      <c r="J313" s="5" t="s">
        <v>730</v>
      </c>
      <c r="K313" s="20">
        <v>5</v>
      </c>
      <c r="L313" s="10">
        <f>K313*2</f>
        <v>10</v>
      </c>
      <c r="M313" s="11"/>
      <c r="N313" s="5" t="s">
        <v>727</v>
      </c>
      <c r="O313" s="12">
        <v>45870</v>
      </c>
      <c r="P313" s="12">
        <v>45870</v>
      </c>
      <c r="Q313" s="8"/>
      <c r="R313" s="8"/>
    </row>
    <row r="314" spans="1:18" x14ac:dyDescent="0.25">
      <c r="A314" s="5" t="s">
        <v>146</v>
      </c>
      <c r="B314" s="5" t="s">
        <v>147</v>
      </c>
      <c r="C314" s="6">
        <v>44845</v>
      </c>
      <c r="D314" s="5" t="s">
        <v>596</v>
      </c>
      <c r="E314" s="7" t="s">
        <v>580</v>
      </c>
      <c r="F314" s="8" t="s">
        <v>594</v>
      </c>
      <c r="G314" s="5" t="s">
        <v>597</v>
      </c>
      <c r="H314" s="5" t="s">
        <v>597</v>
      </c>
      <c r="I314" s="9" t="s">
        <v>725</v>
      </c>
      <c r="J314" s="5" t="s">
        <v>730</v>
      </c>
      <c r="K314" s="10">
        <v>5</v>
      </c>
      <c r="L314" s="10">
        <f>K314*2</f>
        <v>10</v>
      </c>
      <c r="M314" s="11"/>
      <c r="N314" s="5" t="s">
        <v>727</v>
      </c>
      <c r="O314" s="6">
        <v>45870</v>
      </c>
      <c r="P314" s="12">
        <v>45870</v>
      </c>
      <c r="Q314" s="8"/>
      <c r="R314" s="8"/>
    </row>
    <row r="315" spans="1:18" x14ac:dyDescent="0.25">
      <c r="A315" s="5" t="s">
        <v>437</v>
      </c>
      <c r="B315" s="5" t="s">
        <v>438</v>
      </c>
      <c r="C315" s="6">
        <v>45944</v>
      </c>
      <c r="D315" s="5" t="s">
        <v>644</v>
      </c>
      <c r="E315" s="7" t="s">
        <v>580</v>
      </c>
      <c r="F315" s="5" t="s">
        <v>594</v>
      </c>
      <c r="G315" s="5" t="s">
        <v>645</v>
      </c>
      <c r="H315" s="5" t="s">
        <v>645</v>
      </c>
      <c r="I315" s="9" t="s">
        <v>725</v>
      </c>
      <c r="J315" s="5" t="s">
        <v>730</v>
      </c>
      <c r="K315" s="10">
        <v>5</v>
      </c>
      <c r="L315" s="10">
        <f>K315*2</f>
        <v>10</v>
      </c>
      <c r="M315" s="11"/>
      <c r="N315" s="5" t="s">
        <v>727</v>
      </c>
      <c r="O315" s="30" t="s">
        <v>831</v>
      </c>
      <c r="P315" s="30" t="s">
        <v>831</v>
      </c>
      <c r="Q315" s="8"/>
      <c r="R315" s="8"/>
    </row>
    <row r="316" spans="1:18" x14ac:dyDescent="0.25">
      <c r="A316" s="21" t="s">
        <v>367</v>
      </c>
      <c r="B316" s="5" t="s">
        <v>567</v>
      </c>
      <c r="C316" s="14">
        <v>45989</v>
      </c>
      <c r="D316" s="5" t="s">
        <v>661</v>
      </c>
      <c r="E316" s="13" t="s">
        <v>580</v>
      </c>
      <c r="F316" s="8" t="s">
        <v>594</v>
      </c>
      <c r="G316" s="5" t="s">
        <v>625</v>
      </c>
      <c r="H316" s="9" t="s">
        <v>861</v>
      </c>
      <c r="I316" s="9" t="s">
        <v>725</v>
      </c>
      <c r="J316" s="5" t="s">
        <v>730</v>
      </c>
      <c r="K316" s="20">
        <v>5</v>
      </c>
      <c r="L316" s="10">
        <f>K316*2</f>
        <v>10</v>
      </c>
      <c r="M316" s="26"/>
      <c r="N316" s="5" t="s">
        <v>727</v>
      </c>
      <c r="O316" s="6">
        <v>46000</v>
      </c>
      <c r="P316" s="6">
        <v>46000</v>
      </c>
      <c r="Q316" s="8"/>
      <c r="R316" s="6">
        <v>46000</v>
      </c>
    </row>
    <row r="317" spans="1:18" x14ac:dyDescent="0.25">
      <c r="A317" s="21" t="s">
        <v>246</v>
      </c>
      <c r="B317" s="9" t="s">
        <v>247</v>
      </c>
      <c r="C317" s="6">
        <v>45413</v>
      </c>
      <c r="D317" s="6" t="s">
        <v>639</v>
      </c>
      <c r="E317" s="13" t="s">
        <v>580</v>
      </c>
      <c r="F317" s="8" t="s">
        <v>594</v>
      </c>
      <c r="G317" s="5" t="s">
        <v>626</v>
      </c>
      <c r="H317" s="5" t="s">
        <v>626</v>
      </c>
      <c r="I317" s="9" t="s">
        <v>725</v>
      </c>
      <c r="J317" s="5" t="s">
        <v>730</v>
      </c>
      <c r="K317" s="20">
        <v>5</v>
      </c>
      <c r="L317" s="10">
        <f>K317*2</f>
        <v>10</v>
      </c>
      <c r="M317" s="11"/>
      <c r="N317" s="5" t="s">
        <v>727</v>
      </c>
      <c r="O317" s="12">
        <v>45870</v>
      </c>
      <c r="P317" s="12">
        <v>45870</v>
      </c>
      <c r="Q317" s="8"/>
      <c r="R317" s="8"/>
    </row>
    <row r="318" spans="1:18" x14ac:dyDescent="0.25">
      <c r="A318" s="48" t="s">
        <v>301</v>
      </c>
      <c r="B318" s="32" t="s">
        <v>303</v>
      </c>
      <c r="C318" s="33">
        <v>45692</v>
      </c>
      <c r="D318" s="49" t="s">
        <v>644</v>
      </c>
      <c r="E318" s="32" t="s">
        <v>641</v>
      </c>
      <c r="F318" s="32" t="s">
        <v>654</v>
      </c>
      <c r="G318" s="32" t="s">
        <v>645</v>
      </c>
      <c r="H318" s="32" t="s">
        <v>645</v>
      </c>
      <c r="I318" s="9" t="s">
        <v>725</v>
      </c>
      <c r="J318" s="32" t="s">
        <v>730</v>
      </c>
      <c r="K318" s="50">
        <v>5</v>
      </c>
      <c r="L318" s="10">
        <f>K318*2</f>
        <v>10</v>
      </c>
      <c r="M318" s="34"/>
      <c r="N318" s="5" t="s">
        <v>727</v>
      </c>
      <c r="O318" s="48" t="s">
        <v>826</v>
      </c>
      <c r="P318" s="12">
        <v>45870</v>
      </c>
      <c r="Q318" s="8"/>
      <c r="R318" s="8"/>
    </row>
    <row r="319" spans="1:18" x14ac:dyDescent="0.25">
      <c r="A319" s="21" t="s">
        <v>425</v>
      </c>
      <c r="B319" s="5" t="s">
        <v>426</v>
      </c>
      <c r="C319" s="6">
        <v>45930</v>
      </c>
      <c r="D319" s="5" t="s">
        <v>607</v>
      </c>
      <c r="E319" s="13" t="s">
        <v>580</v>
      </c>
      <c r="F319" s="8" t="s">
        <v>633</v>
      </c>
      <c r="G319" s="5" t="s">
        <v>590</v>
      </c>
      <c r="H319" s="5" t="s">
        <v>590</v>
      </c>
      <c r="I319" s="9" t="s">
        <v>725</v>
      </c>
      <c r="J319" s="5" t="s">
        <v>792</v>
      </c>
      <c r="K319" s="16">
        <v>4.95</v>
      </c>
      <c r="L319" s="10">
        <f>K319*2</f>
        <v>9.9</v>
      </c>
      <c r="M319" s="11"/>
      <c r="N319" s="5" t="s">
        <v>727</v>
      </c>
      <c r="O319" s="6">
        <v>45943</v>
      </c>
      <c r="P319" s="6">
        <v>45943</v>
      </c>
      <c r="Q319" s="8"/>
      <c r="R319" s="8"/>
    </row>
    <row r="320" spans="1:18" x14ac:dyDescent="0.25">
      <c r="A320" s="19" t="s">
        <v>527</v>
      </c>
      <c r="B320" s="5" t="s">
        <v>528</v>
      </c>
      <c r="C320" s="6" t="s">
        <v>696</v>
      </c>
      <c r="D320" s="5" t="s">
        <v>666</v>
      </c>
      <c r="E320" s="13" t="s">
        <v>580</v>
      </c>
      <c r="F320" s="5" t="s">
        <v>604</v>
      </c>
      <c r="G320" s="5" t="s">
        <v>665</v>
      </c>
      <c r="H320" s="5" t="s">
        <v>665</v>
      </c>
      <c r="I320" s="9" t="s">
        <v>725</v>
      </c>
      <c r="J320" s="5" t="s">
        <v>804</v>
      </c>
      <c r="K320" s="20">
        <f>6.75</f>
        <v>6.75</v>
      </c>
      <c r="L320" s="10">
        <f>K320*2</f>
        <v>13.5</v>
      </c>
      <c r="M320" s="11"/>
      <c r="N320" s="5" t="s">
        <v>727</v>
      </c>
      <c r="O320" s="12">
        <v>45870</v>
      </c>
      <c r="P320" s="12">
        <v>45870</v>
      </c>
      <c r="Q320" s="8"/>
      <c r="R320" s="8"/>
    </row>
    <row r="321" spans="1:18" x14ac:dyDescent="0.25">
      <c r="A321" s="19" t="s">
        <v>541</v>
      </c>
      <c r="B321" s="5" t="s">
        <v>542</v>
      </c>
      <c r="C321" s="6" t="s">
        <v>703</v>
      </c>
      <c r="D321" s="5" t="s">
        <v>666</v>
      </c>
      <c r="E321" s="13" t="s">
        <v>580</v>
      </c>
      <c r="F321" s="8" t="s">
        <v>633</v>
      </c>
      <c r="G321" s="5" t="s">
        <v>665</v>
      </c>
      <c r="H321" s="5" t="s">
        <v>665</v>
      </c>
      <c r="I321" s="15" t="s">
        <v>740</v>
      </c>
      <c r="J321" s="15" t="s">
        <v>740</v>
      </c>
      <c r="K321" s="34">
        <v>0</v>
      </c>
      <c r="L321" s="10">
        <f>K321*2</f>
        <v>0</v>
      </c>
      <c r="M321" s="11"/>
      <c r="N321" s="5" t="s">
        <v>727</v>
      </c>
      <c r="O321" s="12">
        <v>45870</v>
      </c>
      <c r="P321" s="12">
        <v>45870</v>
      </c>
      <c r="Q321" s="8"/>
      <c r="R321" s="8"/>
    </row>
    <row r="322" spans="1:18" x14ac:dyDescent="0.25">
      <c r="A322" s="21" t="s">
        <v>227</v>
      </c>
      <c r="B322" s="5" t="s">
        <v>376</v>
      </c>
      <c r="C322" s="14">
        <v>45870</v>
      </c>
      <c r="D322" s="5" t="s">
        <v>661</v>
      </c>
      <c r="E322" s="13" t="s">
        <v>580</v>
      </c>
      <c r="F322" s="5" t="s">
        <v>604</v>
      </c>
      <c r="G322" s="5" t="s">
        <v>625</v>
      </c>
      <c r="H322" s="9" t="s">
        <v>861</v>
      </c>
      <c r="I322" s="15" t="s">
        <v>740</v>
      </c>
      <c r="J322" s="15" t="s">
        <v>740</v>
      </c>
      <c r="K322" s="34">
        <v>0</v>
      </c>
      <c r="L322" s="10">
        <f>K322*2</f>
        <v>0</v>
      </c>
      <c r="M322" s="11"/>
      <c r="N322" s="5" t="s">
        <v>727</v>
      </c>
      <c r="O322" s="21" t="s">
        <v>827</v>
      </c>
      <c r="P322" s="21" t="s">
        <v>827</v>
      </c>
      <c r="Q322" s="8"/>
      <c r="R322" s="8"/>
    </row>
    <row r="323" spans="1:18" x14ac:dyDescent="0.25">
      <c r="A323" s="51" t="s">
        <v>8</v>
      </c>
      <c r="B323" s="52" t="s">
        <v>419</v>
      </c>
      <c r="C323" s="53">
        <v>45925</v>
      </c>
      <c r="D323" s="52" t="s">
        <v>637</v>
      </c>
      <c r="E323" s="13" t="s">
        <v>580</v>
      </c>
      <c r="F323" s="8" t="s">
        <v>594</v>
      </c>
      <c r="G323" s="52" t="s">
        <v>638</v>
      </c>
      <c r="H323" s="52" t="s">
        <v>638</v>
      </c>
      <c r="I323" s="9" t="s">
        <v>725</v>
      </c>
      <c r="J323" s="52" t="s">
        <v>730</v>
      </c>
      <c r="K323" s="54">
        <v>5</v>
      </c>
      <c r="L323" s="10">
        <f>K323*2</f>
        <v>10</v>
      </c>
      <c r="M323" s="55"/>
      <c r="N323" s="5" t="s">
        <v>727</v>
      </c>
      <c r="O323" s="53">
        <v>45930</v>
      </c>
      <c r="P323" s="53">
        <v>45930</v>
      </c>
      <c r="Q323" s="8"/>
      <c r="R323" s="8"/>
    </row>
    <row r="324" spans="1:18" x14ac:dyDescent="0.25">
      <c r="A324" s="19" t="s">
        <v>519</v>
      </c>
      <c r="B324" s="5" t="s">
        <v>520</v>
      </c>
      <c r="C324" s="53" t="s">
        <v>690</v>
      </c>
      <c r="D324" s="5" t="s">
        <v>666</v>
      </c>
      <c r="E324" s="13" t="s">
        <v>580</v>
      </c>
      <c r="F324" s="8" t="s">
        <v>594</v>
      </c>
      <c r="G324" s="5" t="s">
        <v>665</v>
      </c>
      <c r="H324" s="5" t="s">
        <v>665</v>
      </c>
      <c r="I324" s="15" t="s">
        <v>740</v>
      </c>
      <c r="J324" s="15" t="s">
        <v>740</v>
      </c>
      <c r="K324" s="34">
        <v>0</v>
      </c>
      <c r="L324" s="10">
        <f>K324*2</f>
        <v>0</v>
      </c>
      <c r="M324" s="11"/>
      <c r="N324" s="5" t="s">
        <v>727</v>
      </c>
      <c r="O324" s="12">
        <v>45870</v>
      </c>
      <c r="P324" s="12">
        <v>45870</v>
      </c>
      <c r="Q324" s="8"/>
      <c r="R324" s="8"/>
    </row>
    <row r="325" spans="1:18" x14ac:dyDescent="0.25">
      <c r="A325" s="21" t="s">
        <v>209</v>
      </c>
      <c r="B325" s="9" t="s">
        <v>384</v>
      </c>
      <c r="C325" s="14">
        <v>45870</v>
      </c>
      <c r="D325" s="28" t="s">
        <v>661</v>
      </c>
      <c r="E325" s="14" t="s">
        <v>592</v>
      </c>
      <c r="F325" s="5" t="s">
        <v>593</v>
      </c>
      <c r="G325" s="9" t="s">
        <v>625</v>
      </c>
      <c r="H325" s="9" t="s">
        <v>861</v>
      </c>
      <c r="I325" s="9" t="s">
        <v>725</v>
      </c>
      <c r="J325" s="5" t="s">
        <v>783</v>
      </c>
      <c r="K325" s="20">
        <v>10.5</v>
      </c>
      <c r="L325" s="10">
        <f t="shared" ref="L308:L327" si="1">K325*2</f>
        <v>21</v>
      </c>
      <c r="M325" s="11"/>
      <c r="N325" s="5" t="s">
        <v>727</v>
      </c>
      <c r="O325" s="21" t="s">
        <v>829</v>
      </c>
      <c r="P325" s="21" t="s">
        <v>829</v>
      </c>
      <c r="Q325" s="8"/>
      <c r="R325" s="8"/>
    </row>
    <row r="326" spans="1:18" x14ac:dyDescent="0.25">
      <c r="A326" s="21" t="s">
        <v>242</v>
      </c>
      <c r="B326" s="5" t="s">
        <v>243</v>
      </c>
      <c r="C326" s="6">
        <v>45385</v>
      </c>
      <c r="D326" s="6" t="s">
        <v>637</v>
      </c>
      <c r="E326" s="9" t="s">
        <v>641</v>
      </c>
      <c r="F326" s="5" t="s">
        <v>643</v>
      </c>
      <c r="G326" s="5" t="s">
        <v>638</v>
      </c>
      <c r="H326" s="5" t="s">
        <v>638</v>
      </c>
      <c r="I326" s="9" t="s">
        <v>725</v>
      </c>
      <c r="J326" s="5" t="s">
        <v>730</v>
      </c>
      <c r="K326" s="20">
        <v>5</v>
      </c>
      <c r="L326" s="10">
        <f t="shared" si="1"/>
        <v>10</v>
      </c>
      <c r="M326" s="11"/>
      <c r="N326" s="5" t="s">
        <v>727</v>
      </c>
      <c r="O326" s="12">
        <v>45870</v>
      </c>
      <c r="P326" s="12">
        <v>45870</v>
      </c>
      <c r="Q326" s="8"/>
      <c r="R326" s="8"/>
    </row>
    <row r="327" spans="1:18" x14ac:dyDescent="0.25">
      <c r="A327" s="5" t="s">
        <v>367</v>
      </c>
      <c r="B327" s="5" t="s">
        <v>837</v>
      </c>
      <c r="C327" s="58" t="s">
        <v>717</v>
      </c>
      <c r="D327" s="56" t="s">
        <v>605</v>
      </c>
      <c r="E327" s="13" t="s">
        <v>580</v>
      </c>
      <c r="F327" s="5" t="s">
        <v>604</v>
      </c>
      <c r="G327" s="56" t="s">
        <v>606</v>
      </c>
      <c r="H327" s="56" t="s">
        <v>606</v>
      </c>
      <c r="I327" s="15" t="s">
        <v>740</v>
      </c>
      <c r="J327" s="15" t="s">
        <v>740</v>
      </c>
      <c r="K327" s="34">
        <v>0</v>
      </c>
      <c r="L327" s="10">
        <f t="shared" si="1"/>
        <v>0</v>
      </c>
      <c r="M327" s="61"/>
      <c r="N327" s="5" t="s">
        <v>727</v>
      </c>
      <c r="O327" s="5"/>
      <c r="P327" s="5"/>
      <c r="Q327" s="8"/>
      <c r="R327" s="8"/>
    </row>
    <row r="328" spans="1:18" x14ac:dyDescent="0.25">
      <c r="A328" s="5" t="s">
        <v>367</v>
      </c>
      <c r="B328" s="5" t="s">
        <v>838</v>
      </c>
      <c r="C328" s="58" t="s">
        <v>717</v>
      </c>
      <c r="D328" s="14" t="s">
        <v>617</v>
      </c>
      <c r="E328" s="13" t="s">
        <v>580</v>
      </c>
      <c r="F328" s="8" t="s">
        <v>633</v>
      </c>
      <c r="G328" s="9" t="s">
        <v>618</v>
      </c>
      <c r="H328" s="9" t="s">
        <v>618</v>
      </c>
      <c r="I328" s="15" t="s">
        <v>740</v>
      </c>
      <c r="J328" s="15" t="s">
        <v>740</v>
      </c>
      <c r="K328" s="34">
        <v>0</v>
      </c>
      <c r="L328" s="10">
        <f t="shared" ref="L328:L329" si="2">K328*2</f>
        <v>0</v>
      </c>
      <c r="M328" s="61"/>
      <c r="N328" s="56"/>
      <c r="O328" s="5"/>
      <c r="P328" s="5"/>
      <c r="Q328" s="8"/>
      <c r="R328" s="8"/>
    </row>
    <row r="329" spans="1:18" x14ac:dyDescent="0.25">
      <c r="A329" s="5" t="s">
        <v>367</v>
      </c>
      <c r="B329" s="5" t="s">
        <v>839</v>
      </c>
      <c r="C329" s="58" t="s">
        <v>717</v>
      </c>
      <c r="D329" s="5" t="s">
        <v>644</v>
      </c>
      <c r="E329" s="5" t="s">
        <v>641</v>
      </c>
      <c r="F329" s="5" t="s">
        <v>642</v>
      </c>
      <c r="G329" s="5" t="s">
        <v>645</v>
      </c>
      <c r="H329" s="5" t="s">
        <v>645</v>
      </c>
      <c r="I329" s="9" t="s">
        <v>725</v>
      </c>
      <c r="J329" s="5" t="s">
        <v>730</v>
      </c>
      <c r="K329" s="20">
        <v>5</v>
      </c>
      <c r="L329" s="10">
        <f t="shared" si="2"/>
        <v>10</v>
      </c>
      <c r="M329" s="56"/>
      <c r="N329" s="56"/>
      <c r="O329" s="5"/>
      <c r="P329" s="5"/>
      <c r="Q329" s="8"/>
      <c r="R329" s="8"/>
    </row>
    <row r="330" spans="1:18" x14ac:dyDescent="0.25">
      <c r="A330" s="5" t="s">
        <v>367</v>
      </c>
      <c r="B330" s="5" t="s">
        <v>840</v>
      </c>
      <c r="C330" s="58">
        <v>46000</v>
      </c>
      <c r="D330" s="56" t="s">
        <v>607</v>
      </c>
      <c r="E330" s="57" t="s">
        <v>580</v>
      </c>
      <c r="F330" s="5" t="s">
        <v>604</v>
      </c>
      <c r="G330" s="56" t="s">
        <v>590</v>
      </c>
      <c r="H330" s="56" t="s">
        <v>590</v>
      </c>
      <c r="I330" s="9" t="s">
        <v>725</v>
      </c>
      <c r="J330" s="56" t="s">
        <v>849</v>
      </c>
      <c r="K330" s="64">
        <f>5.65+5.25</f>
        <v>10.9</v>
      </c>
      <c r="L330" s="63">
        <f>10.9*2</f>
        <v>21.8</v>
      </c>
      <c r="M330" s="56"/>
      <c r="N330" s="56"/>
      <c r="O330" s="5"/>
      <c r="P330" s="5"/>
      <c r="Q330" s="8"/>
      <c r="R330" s="8"/>
    </row>
    <row r="331" spans="1:18" x14ac:dyDescent="0.25">
      <c r="A331" s="5" t="s">
        <v>367</v>
      </c>
      <c r="B331" s="5" t="s">
        <v>841</v>
      </c>
      <c r="C331" s="58" t="s">
        <v>717</v>
      </c>
      <c r="D331" s="56" t="s">
        <v>637</v>
      </c>
      <c r="E331" s="57" t="s">
        <v>580</v>
      </c>
      <c r="F331" s="5" t="s">
        <v>642</v>
      </c>
      <c r="G331" s="56" t="s">
        <v>638</v>
      </c>
      <c r="H331" s="56" t="s">
        <v>638</v>
      </c>
      <c r="I331" s="9" t="s">
        <v>725</v>
      </c>
      <c r="J331" s="5" t="s">
        <v>730</v>
      </c>
      <c r="K331" s="20">
        <v>5</v>
      </c>
      <c r="L331" s="10">
        <f t="shared" ref="L331" si="3">K331*2</f>
        <v>10</v>
      </c>
      <c r="M331" s="11"/>
      <c r="N331" s="5" t="s">
        <v>727</v>
      </c>
      <c r="O331" s="5"/>
      <c r="P331" s="5"/>
      <c r="Q331" s="8"/>
      <c r="R331" s="8"/>
    </row>
    <row r="332" spans="1:18" x14ac:dyDescent="0.25">
      <c r="A332" s="5" t="s">
        <v>367</v>
      </c>
      <c r="B332" s="5" t="s">
        <v>843</v>
      </c>
      <c r="C332" s="58" t="s">
        <v>717</v>
      </c>
      <c r="D332" s="56" t="s">
        <v>644</v>
      </c>
      <c r="E332" s="5" t="s">
        <v>641</v>
      </c>
      <c r="F332" s="5" t="s">
        <v>604</v>
      </c>
      <c r="G332" s="56" t="s">
        <v>844</v>
      </c>
      <c r="H332" s="56" t="s">
        <v>844</v>
      </c>
      <c r="I332" s="9" t="s">
        <v>725</v>
      </c>
      <c r="J332" s="52" t="s">
        <v>730</v>
      </c>
      <c r="K332" s="54">
        <v>5</v>
      </c>
      <c r="L332" s="10">
        <f t="shared" ref="L332" si="4">K332*2</f>
        <v>10</v>
      </c>
      <c r="M332" s="56"/>
      <c r="N332" s="56"/>
      <c r="O332" s="56"/>
      <c r="P332" s="56"/>
      <c r="Q332" s="56"/>
      <c r="R332" s="56"/>
    </row>
    <row r="333" spans="1:18" x14ac:dyDescent="0.25">
      <c r="A333" s="19" t="s">
        <v>367</v>
      </c>
      <c r="B333" s="5" t="s">
        <v>846</v>
      </c>
      <c r="C333" s="58" t="s">
        <v>717</v>
      </c>
      <c r="D333" s="5" t="s">
        <v>589</v>
      </c>
      <c r="E333" s="13" t="s">
        <v>580</v>
      </c>
      <c r="F333" s="5" t="s">
        <v>594</v>
      </c>
      <c r="G333" s="5" t="s">
        <v>847</v>
      </c>
      <c r="H333" s="5" t="s">
        <v>847</v>
      </c>
      <c r="I333" s="9" t="s">
        <v>725</v>
      </c>
      <c r="J333" s="52" t="s">
        <v>730</v>
      </c>
      <c r="K333" s="54">
        <v>5</v>
      </c>
      <c r="L333" s="10">
        <f t="shared" ref="L333" si="5">K333*2</f>
        <v>10</v>
      </c>
      <c r="M333" s="62"/>
      <c r="N333" s="62"/>
      <c r="O333" s="62"/>
      <c r="P333" s="62"/>
      <c r="Q333" s="62"/>
      <c r="R333" s="56"/>
    </row>
    <row r="334" spans="1:18" x14ac:dyDescent="0.25">
      <c r="A334" s="19" t="s">
        <v>367</v>
      </c>
      <c r="B334" s="5" t="s">
        <v>850</v>
      </c>
      <c r="C334" s="65" t="s">
        <v>717</v>
      </c>
      <c r="D334" s="5" t="s">
        <v>667</v>
      </c>
      <c r="E334" s="13" t="s">
        <v>580</v>
      </c>
      <c r="F334" s="8" t="s">
        <v>603</v>
      </c>
      <c r="G334" s="5" t="s">
        <v>606</v>
      </c>
      <c r="H334" s="5" t="s">
        <v>606</v>
      </c>
      <c r="I334" s="9" t="s">
        <v>725</v>
      </c>
      <c r="J334" s="56" t="s">
        <v>851</v>
      </c>
      <c r="K334" s="64">
        <v>7.35</v>
      </c>
      <c r="L334" s="63">
        <f>7.35*2</f>
        <v>14.7</v>
      </c>
      <c r="M334" s="56"/>
      <c r="N334" s="56"/>
      <c r="O334" s="56"/>
      <c r="P334" s="56"/>
      <c r="Q334" s="56"/>
      <c r="R334" s="56"/>
    </row>
    <row r="335" spans="1:18" x14ac:dyDescent="0.25">
      <c r="A335" s="5" t="s">
        <v>855</v>
      </c>
      <c r="B335" s="5" t="s">
        <v>854</v>
      </c>
      <c r="C335" s="47">
        <v>46001</v>
      </c>
      <c r="D335" s="5" t="s">
        <v>596</v>
      </c>
      <c r="E335" s="14" t="s">
        <v>592</v>
      </c>
      <c r="F335" s="5" t="s">
        <v>593</v>
      </c>
      <c r="G335" s="5" t="s">
        <v>597</v>
      </c>
      <c r="H335" s="5" t="s">
        <v>597</v>
      </c>
      <c r="I335" s="9" t="s">
        <v>725</v>
      </c>
      <c r="J335" s="5" t="s">
        <v>763</v>
      </c>
      <c r="K335" s="68">
        <f>5+3.9</f>
        <v>8.9</v>
      </c>
      <c r="L335" s="68">
        <f>8.9*2</f>
        <v>17.8</v>
      </c>
      <c r="M335" s="56"/>
      <c r="N335" s="56"/>
      <c r="O335" s="56"/>
      <c r="P335" s="56"/>
      <c r="Q335" s="56"/>
      <c r="R335" s="56"/>
    </row>
    <row r="336" spans="1:18" x14ac:dyDescent="0.25">
      <c r="A336" s="5" t="s">
        <v>862</v>
      </c>
      <c r="B336" s="5" t="s">
        <v>863</v>
      </c>
      <c r="C336" s="56"/>
      <c r="D336" s="5" t="s">
        <v>644</v>
      </c>
      <c r="E336" s="13" t="s">
        <v>580</v>
      </c>
      <c r="F336" s="8" t="s">
        <v>633</v>
      </c>
      <c r="G336" s="5" t="s">
        <v>645</v>
      </c>
      <c r="H336" s="5" t="s">
        <v>645</v>
      </c>
      <c r="I336" s="23"/>
      <c r="J336" s="62"/>
      <c r="K336" s="62"/>
      <c r="L336" s="62"/>
      <c r="M336" s="62"/>
      <c r="N336" s="62"/>
      <c r="O336" s="62"/>
      <c r="P336" s="62"/>
      <c r="Q336" s="62"/>
      <c r="R336" s="62"/>
    </row>
    <row r="337" spans="1:18" x14ac:dyDescent="0.25">
      <c r="A337" s="5" t="s">
        <v>864</v>
      </c>
      <c r="B337" s="5" t="s">
        <v>865</v>
      </c>
      <c r="C337" s="58" t="s">
        <v>717</v>
      </c>
      <c r="D337" s="6" t="s">
        <v>637</v>
      </c>
      <c r="E337" s="13" t="s">
        <v>580</v>
      </c>
      <c r="F337" s="8" t="s">
        <v>633</v>
      </c>
      <c r="G337" s="5" t="s">
        <v>638</v>
      </c>
      <c r="H337" s="56" t="s">
        <v>638</v>
      </c>
      <c r="I337" s="9" t="s">
        <v>725</v>
      </c>
      <c r="J337" s="5" t="s">
        <v>730</v>
      </c>
      <c r="K337" s="20">
        <v>5</v>
      </c>
      <c r="L337" s="10">
        <f t="shared" ref="L337" si="6">K337*2</f>
        <v>10</v>
      </c>
      <c r="M337" s="56"/>
      <c r="N337" s="56"/>
      <c r="O337" s="56"/>
      <c r="P337" s="56"/>
      <c r="Q337" s="56"/>
      <c r="R337" s="56"/>
    </row>
    <row r="338" spans="1:18" ht="18.75" customHeight="1" x14ac:dyDescent="0.25">
      <c r="A338" s="21" t="s">
        <v>866</v>
      </c>
      <c r="B338" s="5" t="s">
        <v>867</v>
      </c>
      <c r="C338" s="56"/>
      <c r="D338" s="5" t="s">
        <v>667</v>
      </c>
      <c r="E338" s="13" t="s">
        <v>580</v>
      </c>
      <c r="F338" s="8" t="s">
        <v>594</v>
      </c>
      <c r="G338" s="5" t="s">
        <v>606</v>
      </c>
      <c r="H338" s="5" t="s">
        <v>606</v>
      </c>
      <c r="I338" s="9" t="s">
        <v>725</v>
      </c>
      <c r="J338" s="5" t="s">
        <v>868</v>
      </c>
      <c r="K338" s="64">
        <f>5.5</f>
        <v>5.5</v>
      </c>
      <c r="L338" s="64">
        <f>5.5*2</f>
        <v>11</v>
      </c>
      <c r="M338" s="56"/>
      <c r="N338" s="56"/>
      <c r="O338" s="56"/>
      <c r="P338" s="56"/>
      <c r="Q338" s="56"/>
      <c r="R338" s="56"/>
    </row>
    <row r="339" spans="1:18" x14ac:dyDescent="0.25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</row>
    <row r="340" spans="1:18" x14ac:dyDescent="0.25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</row>
    <row r="341" spans="1:18" x14ac:dyDescent="0.25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</row>
  </sheetData>
  <autoFilter ref="A4:R338" xr:uid="{C177D57A-E4C8-4C10-93FF-9E50587D3839}">
    <sortState xmlns:xlrd2="http://schemas.microsoft.com/office/spreadsheetml/2017/richdata2" ref="A9:R324">
      <sortCondition ref="B4:B337"/>
    </sortState>
  </autoFilter>
  <mergeCells count="1">
    <mergeCell ref="A1:R3"/>
  </mergeCells>
  <pageMargins left="0.511811024" right="0.511811024" top="0.78740157499999996" bottom="0.78740157499999996" header="0.31496062000000002" footer="0.31496062000000002"/>
  <pageSetup paperSize="9" orientation="portrait" r:id="rId1"/>
  <ignoredErrors>
    <ignoredError sqref="A6:A8 A325:A334" twoDigitTextYear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VT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RECURSOS HUMANOS</dc:creator>
  <cp:lastModifiedBy>TENNESSEE RH</cp:lastModifiedBy>
  <cp:lastPrinted>2025-12-16T17:49:11Z</cp:lastPrinted>
  <dcterms:created xsi:type="dcterms:W3CDTF">2025-11-29T18:15:32Z</dcterms:created>
  <dcterms:modified xsi:type="dcterms:W3CDTF">2025-12-16T19:17:11Z</dcterms:modified>
</cp:coreProperties>
</file>
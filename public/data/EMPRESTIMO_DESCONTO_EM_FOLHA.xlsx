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00. PAGAMENTOS\FOLHA GERAL\EMPRESTIMO\"/>
    </mc:Choice>
  </mc:AlternateContent>
  <xr:revisionPtr revIDLastSave="0" documentId="13_ncr:1_{76636D03-C7AA-4579-BCAB-C297AC765456}" xr6:coauthVersionLast="47" xr6:coauthVersionMax="47" xr10:uidLastSave="{00000000-0000-0000-0000-000000000000}"/>
  <bookViews>
    <workbookView xWindow="-120" yWindow="-120" windowWidth="29040" windowHeight="15720" xr2:uid="{404FD33F-DAF1-44CA-944C-8D64EF8F9838}"/>
  </bookViews>
  <sheets>
    <sheet name="EMPRESTIMO" sheetId="1" r:id="rId1"/>
    <sheet name="Emprestimo Encerrado" sheetId="2" r:id="rId2"/>
  </sheets>
  <definedNames>
    <definedName name="_xlnm._FilterDatabase" localSheetId="0" hidden="1">EMPRESTIMO!$A$6:$T$23</definedName>
    <definedName name="_xlnm._FilterDatabase" localSheetId="1" hidden="1">'Emprestimo Encerrado'!$A$6:$T$6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2" l="1"/>
  <c r="G56" i="2"/>
  <c r="G57" i="2"/>
  <c r="G55" i="2"/>
  <c r="G54" i="2"/>
  <c r="G52" i="2"/>
  <c r="G50" i="2"/>
  <c r="G18" i="1"/>
  <c r="G11" i="1"/>
  <c r="G9" i="1"/>
  <c r="G12" i="1"/>
  <c r="G20" i="1"/>
  <c r="G49" i="2"/>
  <c r="G21" i="1"/>
  <c r="E26" i="1"/>
  <c r="G14" i="1"/>
  <c r="G16" i="1"/>
  <c r="G15" i="1"/>
  <c r="G23" i="1"/>
  <c r="G24" i="1"/>
  <c r="G19" i="1"/>
  <c r="G17" i="1"/>
  <c r="G22" i="1"/>
  <c r="G46" i="2"/>
  <c r="G45" i="2"/>
  <c r="G42" i="2" l="1"/>
  <c r="G43" i="2"/>
  <c r="I43" i="2"/>
  <c r="G44" i="2"/>
  <c r="G40" i="2"/>
  <c r="G38" i="2"/>
  <c r="I38" i="2"/>
  <c r="G37" i="2"/>
  <c r="G8" i="1"/>
  <c r="G31" i="2"/>
  <c r="I31" i="2"/>
  <c r="G18" i="2"/>
  <c r="G59" i="2" s="1"/>
  <c r="G32" i="2"/>
  <c r="I32" i="2"/>
  <c r="G36" i="2"/>
  <c r="I36" i="2"/>
  <c r="G10" i="1"/>
  <c r="G26" i="1" l="1"/>
  <c r="I10" i="1"/>
</calcChain>
</file>

<file path=xl/sharedStrings.xml><?xml version="1.0" encoding="utf-8"?>
<sst xmlns="http://schemas.openxmlformats.org/spreadsheetml/2006/main" count="208" uniqueCount="90">
  <si>
    <t>LOJA</t>
  </si>
  <si>
    <t>GILMAR SOARES RODRIGUES</t>
  </si>
  <si>
    <t>BROOKLIN</t>
  </si>
  <si>
    <t>JOSE ADEVALDO SILVA DE JESUS</t>
  </si>
  <si>
    <t xml:space="preserve">EDVALDO MARTINS </t>
  </si>
  <si>
    <t>LAJEADO</t>
  </si>
  <si>
    <t>MAICON ROGERIO SANTOS SOUZA</t>
  </si>
  <si>
    <t>HIGOR ALMEIDA DA SILVA</t>
  </si>
  <si>
    <t>RAGUEB</t>
  </si>
  <si>
    <t>EMPRÉSTIMO</t>
  </si>
  <si>
    <t>DATA LIBERAÇÃO</t>
  </si>
  <si>
    <t>QUANTIDADE PARCELAS</t>
  </si>
  <si>
    <t>INICIO DESC</t>
  </si>
  <si>
    <t>FIM DESC</t>
  </si>
  <si>
    <t>VALOR TOTAL</t>
  </si>
  <si>
    <t>VALOR PARCELA</t>
  </si>
  <si>
    <t>DANIELA MENEZES CAMPOS DE JESUS</t>
  </si>
  <si>
    <t>BEATRIZ CAROLINE XAVIER DA SILVA</t>
  </si>
  <si>
    <t>COMERCIAL</t>
  </si>
  <si>
    <t>SERGIO MORINITI TAKARA</t>
  </si>
  <si>
    <t>COMERCIAL/EXTERNO</t>
  </si>
  <si>
    <t xml:space="preserve">COLABORADORES </t>
  </si>
  <si>
    <t>OBSERVAÇÃO</t>
  </si>
  <si>
    <t>MÊS DESC</t>
  </si>
  <si>
    <t>SALÁRIO</t>
  </si>
  <si>
    <t>LIBERATO NORONHA DE SANTANA</t>
  </si>
  <si>
    <t>MATEO BEI</t>
  </si>
  <si>
    <t>CARLOS EDUARDO FERREIRA DE ARAUJO</t>
  </si>
  <si>
    <t>ARTHUR VIEIRA DA SILVA</t>
  </si>
  <si>
    <t>GUILHERME FRANCISCO BUENO</t>
  </si>
  <si>
    <t>TATIANE GOMES DE LIMA</t>
  </si>
  <si>
    <t>ENCERRADO</t>
  </si>
  <si>
    <t>VANESSA MARTINHA DO NASCIMENTO</t>
  </si>
  <si>
    <t>ELISANGELA VITALINO COSTA SILVA</t>
  </si>
  <si>
    <t>LEILSON DA SILVA ALVES</t>
  </si>
  <si>
    <t>MARCELO SANTOS DE SOUZA</t>
  </si>
  <si>
    <t>COMERCIAL/BROOKLIN</t>
  </si>
  <si>
    <t>Pedido demissão 29/08 valor descontado em rescisão</t>
  </si>
  <si>
    <t>RAFAEL RIBEIRO SOUSA</t>
  </si>
  <si>
    <t>EDVALDO MARTINS</t>
  </si>
  <si>
    <t>RODRIGO ANULINO MOREIRA</t>
  </si>
  <si>
    <t>Pedido demissão 09/10 valor descontado em rescisão</t>
  </si>
  <si>
    <t>Pedido demissão 12/09 valor descontado em rescisão</t>
  </si>
  <si>
    <t>Quitado valor em Férias</t>
  </si>
  <si>
    <t>HUDSON KAINAN SOUZA RODRIGUES</t>
  </si>
  <si>
    <t>Batida carro empresa</t>
  </si>
  <si>
    <t>Pedido demissão 02/11 valor descontado em rescisão</t>
  </si>
  <si>
    <t>CIRLENE DE SOUZA PERON</t>
  </si>
  <si>
    <t>DANIEL NASCIMENTO AMARAL</t>
  </si>
  <si>
    <t>COMERCIAL/ESCRITORIO</t>
  </si>
  <si>
    <t>Aviso Trabalhado 03/02 valor descontado em rescisão</t>
  </si>
  <si>
    <t>Adiantamento de férias</t>
  </si>
  <si>
    <t>----------</t>
  </si>
  <si>
    <t>RODRIGO DA SILVA COSTA</t>
  </si>
  <si>
    <t>REGINALDO MONTEIRO DOS SANTOS</t>
  </si>
  <si>
    <t>JOSE FRANCISCO SALES NETO</t>
  </si>
  <si>
    <t>ERIK GONCALVES ZOLIM</t>
  </si>
  <si>
    <t xml:space="preserve">JOSE RICARDO DO NASCIMENTO LOPES </t>
  </si>
  <si>
    <t>MICHELL ANDRADE DOS SANTOS</t>
  </si>
  <si>
    <t xml:space="preserve">MIRIAN RODRIGUES LEITE SILVA </t>
  </si>
  <si>
    <t>THAIS MARTINS DE SOUSA</t>
  </si>
  <si>
    <t>COMERCIAL/INTERNO</t>
  </si>
  <si>
    <t>FRANCISCO DE ASSIS LIMA DA COSTA</t>
  </si>
  <si>
    <t>FRANCISCO ALVES AMARAL</t>
  </si>
  <si>
    <t xml:space="preserve">LAUDO PEREIRA SANTOS </t>
  </si>
  <si>
    <t>BIG OSASCO</t>
  </si>
  <si>
    <t>JHONATAN CIPRIANO DA SILVA</t>
  </si>
  <si>
    <t>MAURINA ETELVINA DA ROCHA</t>
  </si>
  <si>
    <t>SBC</t>
  </si>
  <si>
    <t xml:space="preserve"> Saida de 13/10/2025</t>
  </si>
  <si>
    <t>ROMULO ALEXANDRE DE BRITO CORREIA</t>
  </si>
  <si>
    <t>JOSE FILHO MARCOS DA COSTA</t>
  </si>
  <si>
    <t>LAPA - SAUDE</t>
  </si>
  <si>
    <t>ERAN SILVA LUNA</t>
  </si>
  <si>
    <t>ITAPERCERICA</t>
  </si>
  <si>
    <t>VALDENICE ROCHA LOPES</t>
  </si>
  <si>
    <t>SAUDE</t>
  </si>
  <si>
    <t>LAPA - BIG OSASCO</t>
  </si>
  <si>
    <t>JANAILSON MENEZES DOS SANTOS</t>
  </si>
  <si>
    <t>BARCELONA</t>
  </si>
  <si>
    <t>BRUNO MODESTO PASSOS</t>
  </si>
  <si>
    <t xml:space="preserve">ABIMAEL JESUS SOUZA DE OLIVEIRA </t>
  </si>
  <si>
    <t>REI DO GADO</t>
  </si>
  <si>
    <t>PEDRO LUCAS RICARTE PAIVA</t>
  </si>
  <si>
    <t>JOSE DAMIAO RICARTE</t>
  </si>
  <si>
    <t>SANDRO APARECIDO FERREIRA SANTOS</t>
  </si>
  <si>
    <t xml:space="preserve">LAPA </t>
  </si>
  <si>
    <t>ELIVANIA ALVES DE BRITO ALENCAR</t>
  </si>
  <si>
    <t>LAPA</t>
  </si>
  <si>
    <t>Adiantamento de 13º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</si>
</sst>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d&quot; de &quot;mmm&quot; de &quot;yy"/>
    <numFmt numFmtId="166" formatCode="dd/mm/yy"/>
    <numFmt numFmtId="167" formatCode="d/m;@"/>
    <numFmt numFmtId="168" formatCode="mm/yy"/>
  </numFmts>
  <fonts count="4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25"/>
      <color theme="0"/>
      <name val="Aptos Narrow"/>
      <family val="2"/>
      <scheme val="minor"/>
    </font>
    <font>
      <sz val="12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1"/>
      <color rgb="FFFF0000"/>
      <name val="Aptos Narrow"/>
      <family val="2"/>
      <scheme val="minor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9"/>
      <name val="Aptos Display"/>
      <family val="2"/>
      <scheme val="major"/>
    </font>
    <font>
      <sz val="9"/>
      <color theme="1"/>
      <name val="Aptos Narrow"/>
      <family val="2"/>
      <scheme val="minor"/>
    </font>
    <font>
      <b/>
      <sz val="11"/>
      <color rgb="FFFF000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Display"/>
      <family val="2"/>
    </font>
    <font>
      <sz val="11"/>
      <color theme="1"/>
      <name val="Aptos Display"/>
      <family val="2"/>
      <scheme val="maj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7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sz val="12"/>
      <color theme="1"/>
      <name val="Aptos Display"/>
      <family val="2"/>
    </font>
    <font>
      <sz val="11"/>
      <name val="Aptos Display"/>
      <family val="2"/>
      <scheme val="major"/>
    </font>
    <font>
      <sz val="12"/>
      <color theme="1"/>
      <name val="Arial Nova"/>
      <family val="2"/>
    </font>
    <font>
      <sz val="14"/>
      <color theme="1"/>
      <name val="Arial Nova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ptos Display"/>
      <family val="2"/>
      <scheme val="maj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 Nova"/>
      <family val="2"/>
    </font>
    <font>
      <b/>
      <sz val="14"/>
      <color theme="1"/>
      <name val="Arial Nova"/>
      <family val="2"/>
    </font>
    <font>
      <sz val="14"/>
      <name val="Arial Nova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 Nova"/>
      <family val="2"/>
    </font>
    <font>
      <b/>
      <sz val="12"/>
      <color theme="1"/>
      <name val="Arial Nova"/>
      <family val="2"/>
    </font>
    <font>
      <sz val="12"/>
      <name val="Arial Nova"/>
      <family val="2"/>
    </font>
    <font>
      <sz val="13"/>
      <color theme="1"/>
      <name val="Arial"/>
      <family val="2"/>
    </font>
    <font>
      <sz val="13"/>
      <name val="Arial"/>
      <family val="2"/>
    </font>
    <font>
      <b/>
      <sz val="13"/>
      <color rgb="FFFF0000"/>
      <name val="Arial"/>
      <family val="2"/>
    </font>
    <font>
      <b/>
      <sz val="13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3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2" borderId="1" xfId="1" applyNumberFormat="1" applyFont="1" applyFill="1" applyBorder="1" applyAlignment="1" applyProtection="1">
      <alignment horizontal="center"/>
    </xf>
    <xf numFmtId="166" fontId="4" fillId="2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3" fillId="2" borderId="1" xfId="1" applyNumberFormat="1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>
      <alignment horizontal="center"/>
    </xf>
    <xf numFmtId="14" fontId="4" fillId="2" borderId="1" xfId="1" applyNumberFormat="1" applyFont="1" applyFill="1" applyBorder="1" applyAlignment="1" applyProtection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0" borderId="1" xfId="0" applyFont="1" applyBorder="1"/>
    <xf numFmtId="44" fontId="7" fillId="2" borderId="1" xfId="1" applyFont="1" applyFill="1" applyBorder="1"/>
    <xf numFmtId="44" fontId="7" fillId="2" borderId="1" xfId="1" applyFont="1" applyFill="1" applyBorder="1" applyAlignment="1" applyProtection="1">
      <protection locked="0"/>
    </xf>
    <xf numFmtId="44" fontId="7" fillId="2" borderId="1" xfId="1" applyFont="1" applyFill="1" applyBorder="1" applyAlignment="1" applyProtection="1"/>
    <xf numFmtId="164" fontId="7" fillId="2" borderId="1" xfId="0" applyNumberFormat="1" applyFont="1" applyFill="1" applyBorder="1"/>
    <xf numFmtId="44" fontId="9" fillId="2" borderId="1" xfId="1" applyFont="1" applyFill="1" applyBorder="1"/>
    <xf numFmtId="0" fontId="10" fillId="0" borderId="0" xfId="0" applyFont="1"/>
    <xf numFmtId="44" fontId="11" fillId="2" borderId="1" xfId="1" applyFont="1" applyFill="1" applyBorder="1"/>
    <xf numFmtId="44" fontId="11" fillId="2" borderId="1" xfId="1" applyFont="1" applyFill="1" applyBorder="1" applyAlignment="1" applyProtection="1"/>
    <xf numFmtId="44" fontId="12" fillId="2" borderId="1" xfId="1" applyFont="1" applyFill="1" applyBorder="1" applyAlignment="1" applyProtection="1"/>
    <xf numFmtId="164" fontId="12" fillId="2" borderId="1" xfId="0" applyNumberFormat="1" applyFont="1" applyFill="1" applyBorder="1"/>
    <xf numFmtId="44" fontId="13" fillId="2" borderId="1" xfId="1" applyFont="1" applyFill="1" applyBorder="1"/>
    <xf numFmtId="44" fontId="12" fillId="0" borderId="1" xfId="1" applyFont="1" applyBorder="1" applyAlignment="1">
      <alignment horizontal="center"/>
    </xf>
    <xf numFmtId="0" fontId="0" fillId="2" borderId="0" xfId="0" applyFill="1"/>
    <xf numFmtId="0" fontId="10" fillId="2" borderId="0" xfId="0" applyFont="1" applyFill="1"/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44" fontId="14" fillId="4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44" fontId="14" fillId="4" borderId="5" xfId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5" fillId="0" borderId="0" xfId="0" applyFont="1"/>
    <xf numFmtId="14" fontId="4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/>
    </xf>
    <xf numFmtId="167" fontId="0" fillId="0" borderId="1" xfId="0" applyNumberFormat="1" applyBorder="1" applyAlignment="1">
      <alignment horizontal="center"/>
    </xf>
    <xf numFmtId="44" fontId="12" fillId="2" borderId="1" xfId="1" applyFont="1" applyFill="1" applyBorder="1"/>
    <xf numFmtId="44" fontId="12" fillId="2" borderId="1" xfId="1" applyFont="1" applyFill="1" applyBorder="1" applyAlignment="1">
      <alignment horizontal="center"/>
    </xf>
    <xf numFmtId="0" fontId="9" fillId="2" borderId="1" xfId="0" applyFont="1" applyFill="1" applyBorder="1"/>
    <xf numFmtId="165" fontId="7" fillId="2" borderId="1" xfId="0" applyNumberFormat="1" applyFont="1" applyFill="1" applyBorder="1" applyProtection="1">
      <protection locked="0"/>
    </xf>
    <xf numFmtId="0" fontId="0" fillId="0" borderId="1" xfId="0" applyBorder="1"/>
    <xf numFmtId="44" fontId="8" fillId="2" borderId="1" xfId="1" applyFont="1" applyFill="1" applyBorder="1" applyAlignment="1">
      <alignment horizontal="center"/>
    </xf>
    <xf numFmtId="14" fontId="17" fillId="0" borderId="1" xfId="0" applyNumberFormat="1" applyFont="1" applyBorder="1" applyAlignment="1">
      <alignment horizontal="center" vertical="center"/>
    </xf>
    <xf numFmtId="14" fontId="17" fillId="2" borderId="1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44" fontId="6" fillId="0" borderId="2" xfId="0" applyNumberFormat="1" applyFont="1" applyBorder="1" applyAlignment="1">
      <alignment vertical="center"/>
    </xf>
    <xf numFmtId="44" fontId="5" fillId="2" borderId="1" xfId="1" applyFont="1" applyFill="1" applyBorder="1"/>
    <xf numFmtId="0" fontId="18" fillId="2" borderId="0" xfId="0" applyFont="1" applyFill="1" applyAlignment="1">
      <alignment vertical="center"/>
    </xf>
    <xf numFmtId="167" fontId="0" fillId="5" borderId="1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10" fillId="0" borderId="1" xfId="0" applyFont="1" applyBorder="1"/>
    <xf numFmtId="14" fontId="4" fillId="2" borderId="1" xfId="0" applyNumberFormat="1" applyFont="1" applyFill="1" applyBorder="1" applyAlignment="1">
      <alignment horizontal="center"/>
    </xf>
    <xf numFmtId="44" fontId="11" fillId="2" borderId="1" xfId="1" applyFont="1" applyFill="1" applyBorder="1" applyAlignment="1"/>
    <xf numFmtId="44" fontId="12" fillId="2" borderId="1" xfId="1" applyFont="1" applyFill="1" applyBorder="1" applyAlignment="1"/>
    <xf numFmtId="0" fontId="21" fillId="0" borderId="1" xfId="0" applyFont="1" applyBorder="1"/>
    <xf numFmtId="167" fontId="0" fillId="6" borderId="1" xfId="0" applyNumberFormat="1" applyFill="1" applyBorder="1" applyAlignment="1">
      <alignment horizontal="center"/>
    </xf>
    <xf numFmtId="0" fontId="22" fillId="2" borderId="1" xfId="0" applyFont="1" applyFill="1" applyBorder="1" applyAlignment="1">
      <alignment horizontal="center" wrapText="1"/>
    </xf>
    <xf numFmtId="167" fontId="0" fillId="8" borderId="1" xfId="0" applyNumberFormat="1" applyFill="1" applyBorder="1" applyAlignment="1">
      <alignment horizontal="center"/>
    </xf>
    <xf numFmtId="0" fontId="0" fillId="2" borderId="1" xfId="0" applyFill="1" applyBorder="1"/>
    <xf numFmtId="166" fontId="5" fillId="2" borderId="1" xfId="0" quotePrefix="1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44" fontId="3" fillId="2" borderId="1" xfId="1" applyFont="1" applyFill="1" applyBorder="1"/>
    <xf numFmtId="44" fontId="23" fillId="2" borderId="1" xfId="1" applyFont="1" applyFill="1" applyBorder="1"/>
    <xf numFmtId="14" fontId="4" fillId="0" borderId="1" xfId="0" applyNumberFormat="1" applyFont="1" applyBorder="1"/>
    <xf numFmtId="0" fontId="4" fillId="0" borderId="1" xfId="0" applyFont="1" applyBorder="1"/>
    <xf numFmtId="167" fontId="4" fillId="2" borderId="1" xfId="0" applyNumberFormat="1" applyFont="1" applyFill="1" applyBorder="1" applyAlignment="1">
      <alignment horizontal="center"/>
    </xf>
    <xf numFmtId="0" fontId="4" fillId="0" borderId="0" xfId="0" applyFont="1"/>
    <xf numFmtId="44" fontId="4" fillId="0" borderId="1" xfId="1" applyFont="1" applyBorder="1"/>
    <xf numFmtId="44" fontId="23" fillId="0" borderId="1" xfId="1" applyFont="1" applyBorder="1"/>
    <xf numFmtId="165" fontId="4" fillId="2" borderId="1" xfId="0" applyNumberFormat="1" applyFont="1" applyFill="1" applyBorder="1" applyProtection="1">
      <protection locked="0"/>
    </xf>
    <xf numFmtId="167" fontId="4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44" fontId="4" fillId="2" borderId="1" xfId="1" applyFont="1" applyFill="1" applyBorder="1"/>
    <xf numFmtId="14" fontId="4" fillId="2" borderId="1" xfId="0" applyNumberFormat="1" applyFont="1" applyFill="1" applyBorder="1"/>
    <xf numFmtId="0" fontId="16" fillId="0" borderId="1" xfId="0" applyFont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44" fontId="4" fillId="2" borderId="1" xfId="1" applyFont="1" applyFill="1" applyBorder="1" applyAlignment="1" applyProtection="1">
      <protection locked="0"/>
    </xf>
    <xf numFmtId="0" fontId="17" fillId="2" borderId="1" xfId="0" applyFont="1" applyFill="1" applyBorder="1"/>
    <xf numFmtId="44" fontId="25" fillId="2" borderId="1" xfId="1" applyFont="1" applyFill="1" applyBorder="1"/>
    <xf numFmtId="14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166" fontId="17" fillId="2" borderId="1" xfId="0" applyNumberFormat="1" applyFont="1" applyFill="1" applyBorder="1" applyAlignment="1">
      <alignment horizontal="center"/>
    </xf>
    <xf numFmtId="167" fontId="17" fillId="2" borderId="1" xfId="0" applyNumberFormat="1" applyFont="1" applyFill="1" applyBorder="1" applyAlignment="1">
      <alignment horizontal="center"/>
    </xf>
    <xf numFmtId="167" fontId="17" fillId="5" borderId="1" xfId="0" applyNumberFormat="1" applyFont="1" applyFill="1" applyBorder="1" applyAlignment="1">
      <alignment horizontal="center"/>
    </xf>
    <xf numFmtId="0" fontId="17" fillId="0" borderId="0" xfId="0" applyFont="1"/>
    <xf numFmtId="0" fontId="17" fillId="0" borderId="1" xfId="0" applyFont="1" applyBorder="1"/>
    <xf numFmtId="44" fontId="17" fillId="0" borderId="1" xfId="1" applyFont="1" applyBorder="1"/>
    <xf numFmtId="14" fontId="17" fillId="0" borderId="1" xfId="0" applyNumberFormat="1" applyFont="1" applyBorder="1" applyAlignment="1">
      <alignment horizontal="center"/>
    </xf>
    <xf numFmtId="44" fontId="11" fillId="0" borderId="1" xfId="1" applyFont="1" applyBorder="1"/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/>
    <xf numFmtId="167" fontId="17" fillId="8" borderId="1" xfId="0" applyNumberFormat="1" applyFont="1" applyFill="1" applyBorder="1" applyAlignment="1">
      <alignment horizontal="center"/>
    </xf>
    <xf numFmtId="0" fontId="17" fillId="2" borderId="0" xfId="0" applyFont="1" applyFill="1"/>
    <xf numFmtId="14" fontId="17" fillId="2" borderId="1" xfId="0" applyNumberFormat="1" applyFont="1" applyFill="1" applyBorder="1" applyAlignment="1">
      <alignment horizontal="center"/>
    </xf>
    <xf numFmtId="165" fontId="17" fillId="2" borderId="1" xfId="0" applyNumberFormat="1" applyFont="1" applyFill="1" applyBorder="1" applyProtection="1">
      <protection locked="0"/>
    </xf>
    <xf numFmtId="44" fontId="11" fillId="2" borderId="10" xfId="1" applyFont="1" applyFill="1" applyBorder="1"/>
    <xf numFmtId="0" fontId="4" fillId="2" borderId="10" xfId="0" applyFont="1" applyFill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16" fillId="2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64" fontId="7" fillId="2" borderId="10" xfId="0" applyNumberFormat="1" applyFont="1" applyFill="1" applyBorder="1"/>
    <xf numFmtId="14" fontId="4" fillId="0" borderId="0" xfId="0" applyNumberFormat="1" applyFont="1" applyAlignment="1">
      <alignment horizontal="center" vertical="center"/>
    </xf>
    <xf numFmtId="164" fontId="12" fillId="2" borderId="10" xfId="0" applyNumberFormat="1" applyFont="1" applyFill="1" applyBorder="1"/>
    <xf numFmtId="167" fontId="17" fillId="2" borderId="6" xfId="0" applyNumberFormat="1" applyFont="1" applyFill="1" applyBorder="1" applyAlignment="1">
      <alignment horizontal="center"/>
    </xf>
    <xf numFmtId="167" fontId="17" fillId="5" borderId="6" xfId="0" applyNumberFormat="1" applyFont="1" applyFill="1" applyBorder="1" applyAlignment="1">
      <alignment horizontal="center"/>
    </xf>
    <xf numFmtId="167" fontId="0" fillId="0" borderId="1" xfId="0" applyNumberFormat="1" applyBorder="1"/>
    <xf numFmtId="167" fontId="0" fillId="0" borderId="1" xfId="0" applyNumberFormat="1" applyBorder="1" applyAlignment="1">
      <alignment wrapText="1"/>
    </xf>
    <xf numFmtId="14" fontId="0" fillId="7" borderId="8" xfId="0" applyNumberFormat="1" applyFill="1" applyBorder="1" applyAlignment="1">
      <alignment horizontal="center"/>
    </xf>
    <xf numFmtId="167" fontId="17" fillId="2" borderId="6" xfId="0" applyNumberFormat="1" applyFont="1" applyFill="1" applyBorder="1" applyAlignment="1">
      <alignment wrapText="1"/>
    </xf>
    <xf numFmtId="0" fontId="17" fillId="2" borderId="7" xfId="0" applyFont="1" applyFill="1" applyBorder="1"/>
    <xf numFmtId="0" fontId="0" fillId="0" borderId="8" xfId="0" applyBorder="1"/>
    <xf numFmtId="167" fontId="17" fillId="2" borderId="1" xfId="0" applyNumberFormat="1" applyFont="1" applyFill="1" applyBorder="1" applyAlignment="1">
      <alignment wrapText="1"/>
    </xf>
    <xf numFmtId="0" fontId="17" fillId="2" borderId="8" xfId="0" applyFont="1" applyFill="1" applyBorder="1"/>
    <xf numFmtId="0" fontId="0" fillId="0" borderId="9" xfId="0" applyBorder="1"/>
    <xf numFmtId="0" fontId="17" fillId="2" borderId="9" xfId="0" applyFont="1" applyFill="1" applyBorder="1"/>
    <xf numFmtId="167" fontId="4" fillId="9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167" fontId="4" fillId="6" borderId="1" xfId="0" applyNumberFormat="1" applyFont="1" applyFill="1" applyBorder="1" applyAlignment="1">
      <alignment horizontal="center"/>
    </xf>
    <xf numFmtId="0" fontId="5" fillId="10" borderId="1" xfId="0" applyFont="1" applyFill="1" applyBorder="1"/>
    <xf numFmtId="0" fontId="26" fillId="2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horizontal="left"/>
    </xf>
    <xf numFmtId="165" fontId="4" fillId="11" borderId="1" xfId="0" applyNumberFormat="1" applyFont="1" applyFill="1" applyBorder="1" applyProtection="1">
      <protection locked="0"/>
    </xf>
    <xf numFmtId="0" fontId="3" fillId="2" borderId="1" xfId="0" applyFont="1" applyFill="1" applyBorder="1"/>
    <xf numFmtId="14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44" fontId="19" fillId="2" borderId="2" xfId="0" applyNumberFormat="1" applyFont="1" applyFill="1" applyBorder="1" applyAlignment="1">
      <alignment vertical="center"/>
    </xf>
    <xf numFmtId="44" fontId="20" fillId="2" borderId="2" xfId="1" applyFont="1" applyFill="1" applyBorder="1" applyAlignment="1">
      <alignment vertical="center"/>
    </xf>
    <xf numFmtId="0" fontId="27" fillId="2" borderId="1" xfId="0" applyFont="1" applyFill="1" applyBorder="1" applyAlignment="1">
      <alignment horizontal="left"/>
    </xf>
    <xf numFmtId="0" fontId="28" fillId="2" borderId="0" xfId="0" applyFont="1" applyFill="1"/>
    <xf numFmtId="44" fontId="28" fillId="0" borderId="0" xfId="1" applyFont="1" applyBorder="1" applyAlignment="1"/>
    <xf numFmtId="44" fontId="29" fillId="2" borderId="0" xfId="1" applyFont="1" applyFill="1" applyBorder="1" applyAlignment="1"/>
    <xf numFmtId="0" fontId="28" fillId="0" borderId="0" xfId="0" applyFont="1" applyAlignment="1">
      <alignment horizontal="center"/>
    </xf>
    <xf numFmtId="44" fontId="30" fillId="2" borderId="0" xfId="1" applyFont="1" applyFill="1" applyBorder="1" applyAlignment="1"/>
    <xf numFmtId="0" fontId="28" fillId="0" borderId="0" xfId="0" applyFont="1"/>
    <xf numFmtId="167" fontId="28" fillId="2" borderId="0" xfId="0" applyNumberFormat="1" applyFont="1" applyFill="1" applyAlignment="1">
      <alignment horizontal="center"/>
    </xf>
    <xf numFmtId="0" fontId="18" fillId="2" borderId="0" xfId="0" applyFont="1" applyFill="1"/>
    <xf numFmtId="0" fontId="28" fillId="2" borderId="0" xfId="0" applyFont="1" applyFill="1" applyAlignment="1">
      <alignment horizontal="center"/>
    </xf>
    <xf numFmtId="0" fontId="18" fillId="0" borderId="0" xfId="0" applyFont="1"/>
    <xf numFmtId="0" fontId="31" fillId="4" borderId="5" xfId="0" applyFont="1" applyFill="1" applyBorder="1" applyAlignment="1">
      <alignment horizontal="center" vertical="center"/>
    </xf>
    <xf numFmtId="44" fontId="31" fillId="4" borderId="5" xfId="0" applyNumberFormat="1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 wrapText="1"/>
    </xf>
    <xf numFmtId="44" fontId="31" fillId="4" borderId="5" xfId="1" applyFont="1" applyFill="1" applyBorder="1" applyAlignment="1">
      <alignment horizontal="center" vertical="center" wrapText="1"/>
    </xf>
    <xf numFmtId="0" fontId="32" fillId="0" borderId="0" xfId="0" applyFont="1"/>
    <xf numFmtId="0" fontId="33" fillId="2" borderId="1" xfId="0" applyFont="1" applyFill="1" applyBorder="1"/>
    <xf numFmtId="0" fontId="28" fillId="2" borderId="1" xfId="0" applyFont="1" applyFill="1" applyBorder="1"/>
    <xf numFmtId="44" fontId="28" fillId="0" borderId="1" xfId="1" applyFont="1" applyBorder="1" applyAlignment="1"/>
    <xf numFmtId="44" fontId="29" fillId="2" borderId="1" xfId="1" applyFont="1" applyFill="1" applyBorder="1" applyAlignment="1"/>
    <xf numFmtId="0" fontId="28" fillId="0" borderId="1" xfId="0" applyFont="1" applyBorder="1" applyAlignment="1">
      <alignment horizontal="center"/>
    </xf>
    <xf numFmtId="44" fontId="34" fillId="2" borderId="1" xfId="1" applyFont="1" applyFill="1" applyBorder="1" applyAlignment="1"/>
    <xf numFmtId="0" fontId="28" fillId="0" borderId="1" xfId="0" applyFont="1" applyBorder="1"/>
    <xf numFmtId="167" fontId="28" fillId="2" borderId="1" xfId="0" applyNumberFormat="1" applyFont="1" applyFill="1" applyBorder="1" applyAlignment="1">
      <alignment horizontal="center"/>
    </xf>
    <xf numFmtId="0" fontId="28" fillId="2" borderId="1" xfId="0" applyFont="1" applyFill="1" applyBorder="1" applyAlignment="1">
      <alignment horizontal="left" wrapText="1"/>
    </xf>
    <xf numFmtId="0" fontId="28" fillId="9" borderId="1" xfId="0" applyFont="1" applyFill="1" applyBorder="1" applyAlignment="1">
      <alignment horizontal="left"/>
    </xf>
    <xf numFmtId="44" fontId="33" fillId="2" borderId="1" xfId="1" applyFont="1" applyFill="1" applyBorder="1"/>
    <xf numFmtId="44" fontId="29" fillId="0" borderId="1" xfId="1" applyFont="1" applyBorder="1"/>
    <xf numFmtId="0" fontId="28" fillId="2" borderId="1" xfId="0" applyFont="1" applyFill="1" applyBorder="1" applyAlignment="1">
      <alignment horizontal="center"/>
    </xf>
    <xf numFmtId="44" fontId="34" fillId="2" borderId="1" xfId="1" applyFont="1" applyFill="1" applyBorder="1"/>
    <xf numFmtId="0" fontId="34" fillId="2" borderId="1" xfId="0" applyFont="1" applyFill="1" applyBorder="1" applyAlignment="1">
      <alignment horizontal="center" wrapText="1"/>
    </xf>
    <xf numFmtId="44" fontId="29" fillId="2" borderId="1" xfId="1" applyFont="1" applyFill="1" applyBorder="1"/>
    <xf numFmtId="0" fontId="28" fillId="11" borderId="1" xfId="0" applyFont="1" applyFill="1" applyBorder="1"/>
    <xf numFmtId="168" fontId="28" fillId="2" borderId="1" xfId="0" applyNumberFormat="1" applyFont="1" applyFill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0" fontId="33" fillId="2" borderId="1" xfId="0" applyFont="1" applyFill="1" applyBorder="1" applyAlignment="1">
      <alignment horizontal="left"/>
    </xf>
    <xf numFmtId="0" fontId="28" fillId="11" borderId="1" xfId="0" applyFont="1" applyFill="1" applyBorder="1" applyAlignment="1">
      <alignment horizontal="left"/>
    </xf>
    <xf numFmtId="165" fontId="28" fillId="9" borderId="1" xfId="0" applyNumberFormat="1" applyFont="1" applyFill="1" applyBorder="1" applyProtection="1">
      <protection locked="0"/>
    </xf>
    <xf numFmtId="166" fontId="34" fillId="2" borderId="1" xfId="0" quotePrefix="1" applyNumberFormat="1" applyFont="1" applyFill="1" applyBorder="1" applyAlignment="1">
      <alignment horizontal="center" vertical="center"/>
    </xf>
    <xf numFmtId="0" fontId="34" fillId="10" borderId="1" xfId="0" applyFont="1" applyFill="1" applyBorder="1"/>
    <xf numFmtId="0" fontId="34" fillId="2" borderId="1" xfId="0" applyFont="1" applyFill="1" applyBorder="1" applyAlignment="1">
      <alignment horizontal="center"/>
    </xf>
    <xf numFmtId="44" fontId="33" fillId="2" borderId="1" xfId="1" applyFont="1" applyFill="1" applyBorder="1" applyAlignment="1"/>
    <xf numFmtId="166" fontId="28" fillId="2" borderId="1" xfId="0" applyNumberFormat="1" applyFont="1" applyFill="1" applyBorder="1" applyAlignment="1">
      <alignment horizontal="center"/>
    </xf>
    <xf numFmtId="0" fontId="28" fillId="0" borderId="1" xfId="0" applyFont="1" applyBorder="1" applyAlignment="1">
      <alignment wrapText="1"/>
    </xf>
    <xf numFmtId="0" fontId="28" fillId="9" borderId="1" xfId="0" applyFont="1" applyFill="1" applyBorder="1"/>
    <xf numFmtId="0" fontId="34" fillId="2" borderId="1" xfId="0" applyFont="1" applyFill="1" applyBorder="1" applyAlignment="1">
      <alignment wrapText="1"/>
    </xf>
    <xf numFmtId="0" fontId="33" fillId="2" borderId="0" xfId="0" applyFont="1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14" fontId="28" fillId="0" borderId="1" xfId="0" applyNumberFormat="1" applyFont="1" applyBorder="1" applyAlignment="1">
      <alignment horizontal="left"/>
    </xf>
    <xf numFmtId="14" fontId="28" fillId="2" borderId="1" xfId="0" applyNumberFormat="1" applyFont="1" applyFill="1" applyBorder="1" applyAlignment="1">
      <alignment horizontal="left"/>
    </xf>
    <xf numFmtId="14" fontId="28" fillId="0" borderId="0" xfId="0" applyNumberFormat="1" applyFont="1" applyAlignment="1">
      <alignment horizontal="left"/>
    </xf>
    <xf numFmtId="0" fontId="18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14" fontId="28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7" fillId="2" borderId="1" xfId="0" applyFont="1" applyFill="1" applyBorder="1"/>
    <xf numFmtId="44" fontId="27" fillId="0" borderId="1" xfId="1" applyFont="1" applyBorder="1" applyAlignment="1"/>
    <xf numFmtId="14" fontId="27" fillId="0" borderId="1" xfId="0" applyNumberFormat="1" applyFont="1" applyBorder="1" applyAlignment="1">
      <alignment horizontal="left"/>
    </xf>
    <xf numFmtId="44" fontId="35" fillId="2" borderId="1" xfId="1" applyFont="1" applyFill="1" applyBorder="1" applyAlignment="1"/>
    <xf numFmtId="0" fontId="27" fillId="0" borderId="1" xfId="0" applyFont="1" applyBorder="1" applyAlignment="1">
      <alignment horizontal="center"/>
    </xf>
    <xf numFmtId="44" fontId="36" fillId="2" borderId="1" xfId="1" applyFont="1" applyFill="1" applyBorder="1" applyAlignment="1"/>
    <xf numFmtId="14" fontId="27" fillId="0" borderId="1" xfId="0" applyNumberFormat="1" applyFont="1" applyBorder="1" applyAlignment="1">
      <alignment horizontal="center"/>
    </xf>
    <xf numFmtId="0" fontId="27" fillId="0" borderId="1" xfId="0" applyFont="1" applyBorder="1"/>
    <xf numFmtId="167" fontId="27" fillId="2" borderId="1" xfId="0" applyNumberFormat="1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7" fillId="0" borderId="0" xfId="0" applyFont="1"/>
    <xf numFmtId="0" fontId="37" fillId="2" borderId="1" xfId="0" applyFont="1" applyFill="1" applyBorder="1"/>
    <xf numFmtId="0" fontId="27" fillId="11" borderId="1" xfId="0" applyFont="1" applyFill="1" applyBorder="1"/>
    <xf numFmtId="14" fontId="27" fillId="2" borderId="1" xfId="0" applyNumberFormat="1" applyFont="1" applyFill="1" applyBorder="1" applyAlignment="1">
      <alignment horizontal="left"/>
    </xf>
    <xf numFmtId="0" fontId="27" fillId="9" borderId="1" xfId="0" applyFont="1" applyFill="1" applyBorder="1"/>
    <xf numFmtId="167" fontId="28" fillId="13" borderId="1" xfId="0" applyNumberFormat="1" applyFont="1" applyFill="1" applyBorder="1" applyAlignment="1">
      <alignment horizontal="center"/>
    </xf>
    <xf numFmtId="0" fontId="38" fillId="2" borderId="1" xfId="0" applyFont="1" applyFill="1" applyBorder="1"/>
    <xf numFmtId="0" fontId="39" fillId="2" borderId="1" xfId="0" applyFont="1" applyFill="1" applyBorder="1"/>
    <xf numFmtId="44" fontId="39" fillId="0" borderId="1" xfId="1" applyFont="1" applyBorder="1" applyAlignment="1"/>
    <xf numFmtId="14" fontId="39" fillId="0" borderId="1" xfId="0" applyNumberFormat="1" applyFont="1" applyBorder="1" applyAlignment="1">
      <alignment horizontal="left"/>
    </xf>
    <xf numFmtId="44" fontId="40" fillId="2" borderId="1" xfId="1" applyFont="1" applyFill="1" applyBorder="1" applyAlignment="1"/>
    <xf numFmtId="0" fontId="39" fillId="0" borderId="1" xfId="0" applyFont="1" applyBorder="1" applyAlignment="1">
      <alignment horizontal="center"/>
    </xf>
    <xf numFmtId="44" fontId="41" fillId="2" borderId="1" xfId="1" applyFont="1" applyFill="1" applyBorder="1" applyAlignment="1"/>
    <xf numFmtId="14" fontId="39" fillId="0" borderId="1" xfId="0" applyNumberFormat="1" applyFont="1" applyBorder="1" applyAlignment="1">
      <alignment horizontal="center"/>
    </xf>
    <xf numFmtId="0" fontId="39" fillId="0" borderId="1" xfId="0" applyFont="1" applyBorder="1"/>
    <xf numFmtId="167" fontId="39" fillId="2" borderId="1" xfId="0" applyNumberFormat="1" applyFont="1" applyFill="1" applyBorder="1" applyAlignment="1">
      <alignment horizontal="center"/>
    </xf>
    <xf numFmtId="167" fontId="39" fillId="8" borderId="1" xfId="0" applyNumberFormat="1" applyFont="1" applyFill="1" applyBorder="1" applyAlignment="1">
      <alignment horizontal="center"/>
    </xf>
    <xf numFmtId="0" fontId="39" fillId="0" borderId="0" xfId="0" applyFont="1"/>
    <xf numFmtId="0" fontId="39" fillId="2" borderId="1" xfId="0" applyFont="1" applyFill="1" applyBorder="1" applyAlignment="1">
      <alignment horizontal="left" wrapText="1"/>
    </xf>
    <xf numFmtId="0" fontId="39" fillId="9" borderId="1" xfId="0" applyFont="1" applyFill="1" applyBorder="1" applyAlignment="1">
      <alignment horizontal="left"/>
    </xf>
    <xf numFmtId="44" fontId="38" fillId="2" borderId="1" xfId="1" applyFont="1" applyFill="1" applyBorder="1"/>
    <xf numFmtId="14" fontId="39" fillId="2" borderId="1" xfId="0" applyNumberFormat="1" applyFont="1" applyFill="1" applyBorder="1" applyAlignment="1">
      <alignment horizontal="left"/>
    </xf>
    <xf numFmtId="44" fontId="40" fillId="0" borderId="1" xfId="1" applyFont="1" applyBorder="1"/>
    <xf numFmtId="0" fontId="39" fillId="2" borderId="1" xfId="0" applyFont="1" applyFill="1" applyBorder="1" applyAlignment="1">
      <alignment horizontal="center"/>
    </xf>
    <xf numFmtId="44" fontId="41" fillId="2" borderId="1" xfId="1" applyFont="1" applyFill="1" applyBorder="1"/>
    <xf numFmtId="0" fontId="41" fillId="2" borderId="1" xfId="0" applyFont="1" applyFill="1" applyBorder="1" applyAlignment="1">
      <alignment horizontal="center" wrapText="1"/>
    </xf>
    <xf numFmtId="167" fontId="39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165" fontId="39" fillId="11" borderId="1" xfId="0" applyNumberFormat="1" applyFont="1" applyFill="1" applyBorder="1" applyProtection="1">
      <protection locked="0"/>
    </xf>
    <xf numFmtId="44" fontId="40" fillId="2" borderId="1" xfId="1" applyFont="1" applyFill="1" applyBorder="1"/>
    <xf numFmtId="0" fontId="38" fillId="2" borderId="1" xfId="0" applyFont="1" applyFill="1" applyBorder="1" applyAlignment="1">
      <alignment horizontal="left" vertical="center"/>
    </xf>
    <xf numFmtId="0" fontId="39" fillId="11" borderId="1" xfId="0" applyFont="1" applyFill="1" applyBorder="1"/>
    <xf numFmtId="44" fontId="39" fillId="0" borderId="1" xfId="1" applyFont="1" applyBorder="1"/>
    <xf numFmtId="165" fontId="39" fillId="9" borderId="1" xfId="0" applyNumberFormat="1" applyFont="1" applyFill="1" applyBorder="1" applyProtection="1">
      <protection locked="0"/>
    </xf>
    <xf numFmtId="44" fontId="38" fillId="2" borderId="1" xfId="1" applyFont="1" applyFill="1" applyBorder="1" applyAlignment="1"/>
    <xf numFmtId="14" fontId="39" fillId="2" borderId="1" xfId="0" applyNumberFormat="1" applyFont="1" applyFill="1" applyBorder="1" applyAlignment="1">
      <alignment horizontal="left" vertical="center"/>
    </xf>
    <xf numFmtId="0" fontId="38" fillId="2" borderId="1" xfId="0" applyFont="1" applyFill="1" applyBorder="1" applyProtection="1">
      <protection locked="0"/>
    </xf>
    <xf numFmtId="0" fontId="39" fillId="12" borderId="1" xfId="0" applyFont="1" applyFill="1" applyBorder="1"/>
    <xf numFmtId="167" fontId="26" fillId="8" borderId="1" xfId="0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left"/>
    </xf>
    <xf numFmtId="0" fontId="26" fillId="2" borderId="1" xfId="0" applyFont="1" applyFill="1" applyBorder="1"/>
    <xf numFmtId="44" fontId="26" fillId="0" borderId="1" xfId="1" applyFont="1" applyBorder="1" applyAlignment="1"/>
    <xf numFmtId="14" fontId="26" fillId="0" borderId="1" xfId="0" applyNumberFormat="1" applyFont="1" applyBorder="1" applyAlignment="1">
      <alignment horizontal="left"/>
    </xf>
    <xf numFmtId="44" fontId="42" fillId="2" borderId="1" xfId="1" applyFont="1" applyFill="1" applyBorder="1" applyAlignment="1"/>
    <xf numFmtId="0" fontId="26" fillId="0" borderId="1" xfId="0" applyFont="1" applyBorder="1" applyAlignment="1">
      <alignment horizontal="center"/>
    </xf>
    <xf numFmtId="44" fontId="43" fillId="2" borderId="1" xfId="1" applyFont="1" applyFill="1" applyBorder="1" applyAlignment="1"/>
    <xf numFmtId="14" fontId="26" fillId="0" borderId="1" xfId="0" applyNumberFormat="1" applyFont="1" applyBorder="1" applyAlignment="1">
      <alignment horizontal="center"/>
    </xf>
    <xf numFmtId="0" fontId="26" fillId="0" borderId="1" xfId="0" applyFont="1" applyBorder="1"/>
    <xf numFmtId="167" fontId="26" fillId="2" borderId="1" xfId="0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6" fillId="0" borderId="0" xfId="0" applyFont="1"/>
    <xf numFmtId="0" fontId="44" fillId="2" borderId="1" xfId="0" applyFont="1" applyFill="1" applyBorder="1"/>
    <xf numFmtId="0" fontId="26" fillId="11" borderId="1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5" fillId="2" borderId="1" xfId="0" applyFont="1" applyFill="1" applyBorder="1"/>
    <xf numFmtId="165" fontId="45" fillId="9" borderId="1" xfId="0" applyNumberFormat="1" applyFont="1" applyFill="1" applyBorder="1" applyProtection="1">
      <protection locked="0"/>
    </xf>
    <xf numFmtId="44" fontId="46" fillId="2" borderId="1" xfId="1" applyFont="1" applyFill="1" applyBorder="1"/>
    <xf numFmtId="14" fontId="45" fillId="0" borderId="1" xfId="0" applyNumberFormat="1" applyFont="1" applyBorder="1" applyAlignment="1">
      <alignment horizontal="left"/>
    </xf>
    <xf numFmtId="44" fontId="47" fillId="2" borderId="1" xfId="1" applyFont="1" applyFill="1" applyBorder="1"/>
    <xf numFmtId="0" fontId="45" fillId="2" borderId="1" xfId="0" applyFont="1" applyFill="1" applyBorder="1" applyAlignment="1">
      <alignment horizontal="center"/>
    </xf>
    <xf numFmtId="44" fontId="48" fillId="2" borderId="1" xfId="1" applyFont="1" applyFill="1" applyBorder="1"/>
    <xf numFmtId="166" fontId="48" fillId="2" borderId="1" xfId="0" quotePrefix="1" applyNumberFormat="1" applyFont="1" applyFill="1" applyBorder="1" applyAlignment="1">
      <alignment horizontal="center" vertical="center"/>
    </xf>
    <xf numFmtId="0" fontId="48" fillId="10" borderId="1" xfId="0" applyFont="1" applyFill="1" applyBorder="1"/>
    <xf numFmtId="0" fontId="48" fillId="2" borderId="1" xfId="0" applyFont="1" applyFill="1" applyBorder="1" applyAlignment="1">
      <alignment horizontal="center"/>
    </xf>
    <xf numFmtId="167" fontId="45" fillId="2" borderId="1" xfId="0" applyNumberFormat="1" applyFont="1" applyFill="1" applyBorder="1" applyAlignment="1">
      <alignment horizontal="center"/>
    </xf>
    <xf numFmtId="0" fontId="45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32AD-C71B-4BA2-B2C9-52ABB79AAFAC}">
  <sheetPr>
    <pageSetUpPr fitToPage="1"/>
  </sheetPr>
  <dimension ref="A1:T180"/>
  <sheetViews>
    <sheetView tabSelected="1" zoomScale="80" zoomScaleNormal="80" workbookViewId="0">
      <selection activeCell="A13" sqref="A13:XFD13"/>
    </sheetView>
  </sheetViews>
  <sheetFormatPr defaultRowHeight="15" x14ac:dyDescent="0.25"/>
  <cols>
    <col min="1" max="1" width="53" customWidth="1"/>
    <col min="2" max="2" width="24.7109375" style="23" bestFit="1" customWidth="1"/>
    <col min="3" max="3" width="18.7109375" bestFit="1" customWidth="1"/>
    <col min="4" max="4" width="15.5703125" style="191" customWidth="1"/>
    <col min="5" max="5" width="20.28515625" bestFit="1" customWidth="1"/>
    <col min="6" max="6" width="8.85546875" customWidth="1"/>
    <col min="7" max="7" width="20.7109375" bestFit="1" customWidth="1"/>
    <col min="8" max="8" width="21.28515625" style="195" bestFit="1" customWidth="1"/>
    <col min="9" max="9" width="17.42578125" style="195" bestFit="1" customWidth="1"/>
    <col min="10" max="10" width="33.42578125" customWidth="1"/>
    <col min="11" max="13" width="9.7109375" bestFit="1" customWidth="1"/>
    <col min="14" max="14" width="11.85546875" bestFit="1" customWidth="1"/>
    <col min="15" max="15" width="11" bestFit="1" customWidth="1"/>
    <col min="16" max="19" width="9.7109375" bestFit="1" customWidth="1"/>
    <col min="20" max="20" width="9.5703125" customWidth="1"/>
  </cols>
  <sheetData>
    <row r="1" spans="1:20" s="30" customFormat="1" ht="6" customHeight="1" x14ac:dyDescent="0.25">
      <c r="B1" s="31"/>
      <c r="D1" s="185"/>
      <c r="H1" s="192"/>
      <c r="I1" s="192"/>
    </row>
    <row r="2" spans="1:20" ht="15" customHeight="1" x14ac:dyDescent="0.25">
      <c r="A2" s="259" t="s">
        <v>9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</row>
    <row r="3" spans="1:20" ht="15" customHeight="1" x14ac:dyDescent="0.25">
      <c r="A3" s="259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</row>
    <row r="4" spans="1:20" ht="15.75" customHeight="1" x14ac:dyDescent="0.25">
      <c r="A4" s="259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</row>
    <row r="5" spans="1:20" s="30" customFormat="1" ht="5.25" customHeight="1" thickBot="1" x14ac:dyDescent="0.3">
      <c r="A5" s="32"/>
      <c r="B5" s="33"/>
      <c r="C5" s="33"/>
      <c r="D5" s="186"/>
      <c r="E5" s="33"/>
      <c r="F5" s="33"/>
      <c r="G5" s="33"/>
      <c r="H5" s="33"/>
      <c r="I5" s="33"/>
      <c r="J5" s="33"/>
      <c r="K5" s="34"/>
      <c r="L5" s="34"/>
      <c r="M5" s="34"/>
      <c r="N5" s="34"/>
      <c r="O5" s="34"/>
      <c r="P5" s="34"/>
    </row>
    <row r="6" spans="1:20" s="153" customFormat="1" ht="40.5" customHeight="1" x14ac:dyDescent="0.3">
      <c r="A6" s="149" t="s">
        <v>21</v>
      </c>
      <c r="B6" s="150" t="s">
        <v>0</v>
      </c>
      <c r="C6" s="151" t="s">
        <v>24</v>
      </c>
      <c r="D6" s="151" t="s">
        <v>10</v>
      </c>
      <c r="E6" s="151" t="s">
        <v>14</v>
      </c>
      <c r="F6" s="151" t="s">
        <v>11</v>
      </c>
      <c r="G6" s="151" t="s">
        <v>15</v>
      </c>
      <c r="H6" s="151" t="s">
        <v>12</v>
      </c>
      <c r="I6" s="151" t="s">
        <v>13</v>
      </c>
      <c r="J6" s="152" t="s">
        <v>22</v>
      </c>
      <c r="K6" s="151" t="s">
        <v>23</v>
      </c>
      <c r="L6" s="151" t="s">
        <v>23</v>
      </c>
      <c r="M6" s="151" t="s">
        <v>23</v>
      </c>
      <c r="N6" s="151" t="s">
        <v>23</v>
      </c>
      <c r="O6" s="151" t="s">
        <v>23</v>
      </c>
      <c r="P6" s="151" t="s">
        <v>23</v>
      </c>
      <c r="Q6" s="151" t="s">
        <v>23</v>
      </c>
      <c r="R6" s="151" t="s">
        <v>23</v>
      </c>
      <c r="S6" s="151" t="s">
        <v>23</v>
      </c>
      <c r="T6" s="151" t="s">
        <v>23</v>
      </c>
    </row>
    <row r="7" spans="1:20" s="144" customFormat="1" ht="30" customHeight="1" x14ac:dyDescent="0.25">
      <c r="A7" s="162" t="s">
        <v>64</v>
      </c>
      <c r="B7" s="163" t="s">
        <v>65</v>
      </c>
      <c r="C7" s="164">
        <v>5000</v>
      </c>
      <c r="D7" s="188">
        <v>45965</v>
      </c>
      <c r="E7" s="165">
        <v>2000</v>
      </c>
      <c r="F7" s="166">
        <v>2</v>
      </c>
      <c r="G7" s="167">
        <v>1000</v>
      </c>
      <c r="H7" s="172">
        <v>45996</v>
      </c>
      <c r="I7" s="172">
        <v>46027</v>
      </c>
      <c r="J7" s="168"/>
      <c r="K7" s="161">
        <v>45996</v>
      </c>
      <c r="L7" s="211">
        <v>45662</v>
      </c>
      <c r="M7" s="161"/>
      <c r="N7" s="161"/>
      <c r="O7" s="161"/>
      <c r="P7" s="161"/>
      <c r="Q7" s="161"/>
      <c r="R7" s="161"/>
      <c r="S7" s="161"/>
      <c r="T7" s="161"/>
    </row>
    <row r="8" spans="1:20" s="144" customFormat="1" ht="30" customHeight="1" x14ac:dyDescent="0.25">
      <c r="A8" s="173" t="s">
        <v>62</v>
      </c>
      <c r="B8" s="174" t="s">
        <v>2</v>
      </c>
      <c r="C8" s="164">
        <v>3910</v>
      </c>
      <c r="D8" s="188">
        <v>45908</v>
      </c>
      <c r="E8" s="169">
        <v>6000</v>
      </c>
      <c r="F8" s="166">
        <v>4</v>
      </c>
      <c r="G8" s="167">
        <f>E8/F8</f>
        <v>1500</v>
      </c>
      <c r="H8" s="172">
        <v>45935</v>
      </c>
      <c r="I8" s="172">
        <v>45662</v>
      </c>
      <c r="J8" s="168"/>
      <c r="K8" s="161">
        <v>45935</v>
      </c>
      <c r="L8" s="161">
        <v>45966</v>
      </c>
      <c r="M8" s="161">
        <v>45996</v>
      </c>
      <c r="N8" s="211">
        <v>45662</v>
      </c>
      <c r="O8" s="161"/>
      <c r="P8" s="161"/>
      <c r="Q8" s="161"/>
      <c r="R8" s="161"/>
      <c r="S8" s="161"/>
      <c r="T8" s="161"/>
    </row>
    <row r="9" spans="1:20" s="144" customFormat="1" ht="30" customHeight="1" x14ac:dyDescent="0.25">
      <c r="A9" s="173" t="s">
        <v>3</v>
      </c>
      <c r="B9" s="174" t="s">
        <v>2</v>
      </c>
      <c r="C9" s="156">
        <v>3651</v>
      </c>
      <c r="D9" s="187">
        <v>43904</v>
      </c>
      <c r="E9" s="157">
        <v>2000</v>
      </c>
      <c r="F9" s="158">
        <v>4</v>
      </c>
      <c r="G9" s="159">
        <f>E9/F9</f>
        <v>500</v>
      </c>
      <c r="H9" s="172">
        <v>45996</v>
      </c>
      <c r="I9" s="172">
        <v>46086</v>
      </c>
      <c r="J9" s="160"/>
      <c r="K9" s="161">
        <v>45996</v>
      </c>
      <c r="L9" s="211">
        <v>45662</v>
      </c>
      <c r="M9" s="161">
        <v>45693</v>
      </c>
      <c r="N9" s="161">
        <v>45721</v>
      </c>
      <c r="O9" s="161"/>
      <c r="P9" s="166"/>
      <c r="Q9" s="166"/>
      <c r="R9" s="166"/>
      <c r="S9" s="166"/>
      <c r="T9" s="166"/>
    </row>
    <row r="10" spans="1:20" s="144" customFormat="1" ht="30" customHeight="1" x14ac:dyDescent="0.25">
      <c r="A10" s="173" t="s">
        <v>84</v>
      </c>
      <c r="B10" s="170" t="s">
        <v>2</v>
      </c>
      <c r="C10" s="164">
        <v>3606</v>
      </c>
      <c r="D10" s="188">
        <v>45727</v>
      </c>
      <c r="E10" s="169">
        <v>5000</v>
      </c>
      <c r="F10" s="166">
        <v>10</v>
      </c>
      <c r="G10" s="167">
        <f>E10/F10</f>
        <v>500</v>
      </c>
      <c r="H10" s="172">
        <v>45752</v>
      </c>
      <c r="I10" s="172">
        <f>H10+92</f>
        <v>45844</v>
      </c>
      <c r="J10" s="160"/>
      <c r="K10" s="161">
        <v>45387</v>
      </c>
      <c r="L10" s="161">
        <v>45417</v>
      </c>
      <c r="M10" s="161">
        <v>45813</v>
      </c>
      <c r="N10" s="161">
        <v>45843</v>
      </c>
      <c r="O10" s="161">
        <v>45874</v>
      </c>
      <c r="P10" s="161">
        <v>45905</v>
      </c>
      <c r="Q10" s="161">
        <v>45935</v>
      </c>
      <c r="R10" s="161">
        <v>45966</v>
      </c>
      <c r="S10" s="161">
        <v>45996</v>
      </c>
      <c r="T10" s="211">
        <v>45662</v>
      </c>
    </row>
    <row r="11" spans="1:20" s="144" customFormat="1" ht="30" customHeight="1" x14ac:dyDescent="0.25">
      <c r="A11" s="173" t="s">
        <v>84</v>
      </c>
      <c r="B11" s="174" t="s">
        <v>2</v>
      </c>
      <c r="C11" s="156">
        <v>3757</v>
      </c>
      <c r="D11" s="187">
        <v>42625</v>
      </c>
      <c r="E11" s="157">
        <v>2000</v>
      </c>
      <c r="F11" s="158">
        <v>4</v>
      </c>
      <c r="G11" s="159">
        <f>E11/F11</f>
        <v>500</v>
      </c>
      <c r="H11" s="172">
        <v>45996</v>
      </c>
      <c r="I11" s="172">
        <v>46086</v>
      </c>
      <c r="J11" s="160"/>
      <c r="K11" s="161">
        <v>45996</v>
      </c>
      <c r="L11" s="211">
        <v>45662</v>
      </c>
      <c r="M11" s="161">
        <v>45693</v>
      </c>
      <c r="N11" s="161">
        <v>45721</v>
      </c>
      <c r="O11" s="161"/>
      <c r="P11" s="166"/>
      <c r="Q11" s="166"/>
      <c r="R11" s="166"/>
      <c r="S11" s="166"/>
      <c r="T11" s="166"/>
    </row>
    <row r="12" spans="1:20" s="144" customFormat="1" ht="30" customHeight="1" x14ac:dyDescent="0.25">
      <c r="A12" s="173" t="s">
        <v>83</v>
      </c>
      <c r="B12" s="174" t="s">
        <v>2</v>
      </c>
      <c r="C12" s="156">
        <v>2180</v>
      </c>
      <c r="D12" s="187">
        <v>44611</v>
      </c>
      <c r="E12" s="157">
        <v>2000</v>
      </c>
      <c r="F12" s="158">
        <v>4</v>
      </c>
      <c r="G12" s="159">
        <f>E12/F12</f>
        <v>500</v>
      </c>
      <c r="H12" s="172">
        <v>45996</v>
      </c>
      <c r="I12" s="172">
        <v>46086</v>
      </c>
      <c r="J12" s="160"/>
      <c r="K12" s="161">
        <v>45996</v>
      </c>
      <c r="L12" s="211">
        <v>45662</v>
      </c>
      <c r="M12" s="161">
        <v>45693</v>
      </c>
      <c r="N12" s="161">
        <v>45721</v>
      </c>
      <c r="O12" s="161"/>
      <c r="P12" s="166"/>
      <c r="Q12" s="166"/>
      <c r="R12" s="166"/>
      <c r="S12" s="166"/>
      <c r="T12" s="166"/>
    </row>
    <row r="13" spans="1:20" s="144" customFormat="1" ht="30" customHeight="1" x14ac:dyDescent="0.25">
      <c r="A13" s="155" t="s">
        <v>29</v>
      </c>
      <c r="B13" s="175" t="s">
        <v>20</v>
      </c>
      <c r="C13" s="164">
        <v>2900</v>
      </c>
      <c r="D13" s="188">
        <v>45706</v>
      </c>
      <c r="E13" s="169">
        <v>3000</v>
      </c>
      <c r="F13" s="166">
        <v>0</v>
      </c>
      <c r="G13" s="167">
        <v>0</v>
      </c>
      <c r="H13" s="176" t="s">
        <v>52</v>
      </c>
      <c r="I13" s="176" t="s">
        <v>52</v>
      </c>
      <c r="J13" s="177" t="s">
        <v>51</v>
      </c>
      <c r="K13" s="178"/>
      <c r="L13" s="178"/>
      <c r="M13" s="161"/>
      <c r="N13" s="161"/>
      <c r="O13" s="161"/>
      <c r="P13" s="161"/>
      <c r="Q13" s="166"/>
      <c r="R13" s="161"/>
      <c r="S13" s="161"/>
      <c r="T13" s="161"/>
    </row>
    <row r="14" spans="1:20" s="144" customFormat="1" ht="30" customHeight="1" x14ac:dyDescent="0.25">
      <c r="A14" s="155" t="s">
        <v>29</v>
      </c>
      <c r="B14" s="175" t="s">
        <v>20</v>
      </c>
      <c r="C14" s="164">
        <v>2900</v>
      </c>
      <c r="D14" s="188">
        <v>45958</v>
      </c>
      <c r="E14" s="169">
        <v>5000</v>
      </c>
      <c r="F14" s="166">
        <v>10</v>
      </c>
      <c r="G14" s="167">
        <f t="shared" ref="G14:G24" si="0">E14/F14</f>
        <v>500</v>
      </c>
      <c r="H14" s="180">
        <v>45966</v>
      </c>
      <c r="I14" s="180">
        <v>46239</v>
      </c>
      <c r="J14" s="155"/>
      <c r="K14" s="161">
        <v>45966</v>
      </c>
      <c r="L14" s="161">
        <v>45996</v>
      </c>
      <c r="M14" s="211">
        <v>45662</v>
      </c>
      <c r="N14" s="161">
        <v>45693</v>
      </c>
      <c r="O14" s="161">
        <v>45721</v>
      </c>
      <c r="P14" s="161">
        <v>45387</v>
      </c>
      <c r="Q14" s="161">
        <v>45417</v>
      </c>
      <c r="R14" s="161">
        <v>45813</v>
      </c>
      <c r="S14" s="161">
        <v>45843</v>
      </c>
      <c r="T14" s="161">
        <v>45874</v>
      </c>
    </row>
    <row r="15" spans="1:20" s="144" customFormat="1" ht="30" customHeight="1" x14ac:dyDescent="0.25">
      <c r="A15" s="181" t="s">
        <v>60</v>
      </c>
      <c r="B15" s="182" t="s">
        <v>61</v>
      </c>
      <c r="C15" s="179">
        <v>2500</v>
      </c>
      <c r="D15" s="188">
        <v>45891</v>
      </c>
      <c r="E15" s="157">
        <v>1400</v>
      </c>
      <c r="F15" s="166">
        <v>5</v>
      </c>
      <c r="G15" s="159">
        <f t="shared" si="0"/>
        <v>280</v>
      </c>
      <c r="H15" s="172">
        <v>45935</v>
      </c>
      <c r="I15" s="172">
        <v>46058</v>
      </c>
      <c r="J15" s="183"/>
      <c r="K15" s="161">
        <v>45935</v>
      </c>
      <c r="L15" s="161">
        <v>45966</v>
      </c>
      <c r="M15" s="161">
        <v>45996</v>
      </c>
      <c r="N15" s="211">
        <v>45662</v>
      </c>
      <c r="O15" s="161">
        <v>45693</v>
      </c>
      <c r="P15" s="161"/>
      <c r="Q15" s="161"/>
      <c r="R15" s="161"/>
      <c r="S15" s="161"/>
      <c r="T15" s="161"/>
    </row>
    <row r="16" spans="1:20" s="144" customFormat="1" ht="30" customHeight="1" x14ac:dyDescent="0.25">
      <c r="A16" s="181" t="s">
        <v>60</v>
      </c>
      <c r="B16" s="182" t="s">
        <v>61</v>
      </c>
      <c r="C16" s="179">
        <v>2500</v>
      </c>
      <c r="D16" s="188">
        <v>45891</v>
      </c>
      <c r="E16" s="157">
        <v>1500</v>
      </c>
      <c r="F16" s="166">
        <v>4</v>
      </c>
      <c r="G16" s="159">
        <f t="shared" si="0"/>
        <v>375</v>
      </c>
      <c r="H16" s="172">
        <v>45996</v>
      </c>
      <c r="I16" s="172">
        <v>46058</v>
      </c>
      <c r="J16" s="183"/>
      <c r="K16" s="161">
        <v>45996</v>
      </c>
      <c r="L16" s="211">
        <v>45662</v>
      </c>
      <c r="M16" s="161">
        <v>45693</v>
      </c>
      <c r="N16" s="161">
        <v>45721</v>
      </c>
      <c r="O16" s="161"/>
      <c r="P16" s="161"/>
      <c r="Q16" s="161"/>
      <c r="R16" s="161"/>
      <c r="S16" s="161"/>
      <c r="T16" s="161"/>
    </row>
    <row r="17" spans="1:20" s="144" customFormat="1" ht="30" customHeight="1" x14ac:dyDescent="0.25">
      <c r="A17" s="154" t="s">
        <v>73</v>
      </c>
      <c r="B17" s="155" t="s">
        <v>74</v>
      </c>
      <c r="C17" s="156">
        <v>2950</v>
      </c>
      <c r="D17" s="187">
        <v>45940</v>
      </c>
      <c r="E17" s="157">
        <v>2000</v>
      </c>
      <c r="F17" s="158">
        <v>4</v>
      </c>
      <c r="G17" s="159">
        <f t="shared" si="0"/>
        <v>500</v>
      </c>
      <c r="H17" s="172">
        <v>45966</v>
      </c>
      <c r="I17" s="172">
        <v>46058</v>
      </c>
      <c r="J17" s="160"/>
      <c r="K17" s="161">
        <v>45966</v>
      </c>
      <c r="L17" s="161">
        <v>45996</v>
      </c>
      <c r="M17" s="211">
        <v>45662</v>
      </c>
      <c r="N17" s="171">
        <v>46059</v>
      </c>
      <c r="O17" s="161"/>
      <c r="P17" s="166"/>
      <c r="Q17" s="166"/>
      <c r="R17" s="166"/>
      <c r="S17" s="166"/>
      <c r="T17" s="166"/>
    </row>
    <row r="18" spans="1:20" s="206" customFormat="1" ht="30" customHeight="1" x14ac:dyDescent="0.25">
      <c r="A18" s="138" t="s">
        <v>87</v>
      </c>
      <c r="B18" s="138" t="s">
        <v>88</v>
      </c>
      <c r="C18" s="197">
        <v>3200</v>
      </c>
      <c r="D18" s="198">
        <v>45913</v>
      </c>
      <c r="E18" s="199">
        <v>2000</v>
      </c>
      <c r="F18" s="200">
        <v>4</v>
      </c>
      <c r="G18" s="201">
        <f t="shared" si="0"/>
        <v>500</v>
      </c>
      <c r="H18" s="202">
        <v>45935</v>
      </c>
      <c r="I18" s="202">
        <v>46027</v>
      </c>
      <c r="J18" s="203"/>
      <c r="K18" s="204">
        <v>45996</v>
      </c>
      <c r="L18" s="211">
        <v>45662</v>
      </c>
      <c r="M18" s="204"/>
      <c r="N18" s="204"/>
      <c r="O18" s="204"/>
      <c r="P18" s="205"/>
      <c r="Q18" s="205"/>
      <c r="R18" s="205"/>
      <c r="S18" s="205"/>
      <c r="T18" s="205"/>
    </row>
    <row r="19" spans="1:20" s="206" customFormat="1" ht="30" customHeight="1" x14ac:dyDescent="0.25">
      <c r="A19" s="196" t="s">
        <v>71</v>
      </c>
      <c r="B19" s="208" t="s">
        <v>72</v>
      </c>
      <c r="C19" s="197">
        <v>5000</v>
      </c>
      <c r="D19" s="209">
        <v>45845</v>
      </c>
      <c r="E19" s="199">
        <v>6000</v>
      </c>
      <c r="F19" s="200">
        <v>6</v>
      </c>
      <c r="G19" s="201">
        <f t="shared" si="0"/>
        <v>1000</v>
      </c>
      <c r="H19" s="202">
        <v>45845</v>
      </c>
      <c r="I19" s="202">
        <v>46058</v>
      </c>
      <c r="J19" s="203"/>
      <c r="K19" s="204">
        <v>45935</v>
      </c>
      <c r="L19" s="204">
        <v>45966</v>
      </c>
      <c r="M19" s="204">
        <v>45996</v>
      </c>
      <c r="N19" s="211">
        <v>45662</v>
      </c>
      <c r="O19" s="204"/>
      <c r="P19" s="205"/>
      <c r="Q19" s="205"/>
      <c r="R19" s="205"/>
      <c r="S19" s="205"/>
      <c r="T19" s="205"/>
    </row>
    <row r="20" spans="1:20" s="206" customFormat="1" ht="30" customHeight="1" x14ac:dyDescent="0.25">
      <c r="A20" s="203" t="s">
        <v>81</v>
      </c>
      <c r="B20" s="203" t="s">
        <v>82</v>
      </c>
      <c r="C20" s="197">
        <v>5000</v>
      </c>
      <c r="D20" s="198">
        <v>45202</v>
      </c>
      <c r="E20" s="199">
        <v>2000</v>
      </c>
      <c r="F20" s="200">
        <v>2</v>
      </c>
      <c r="G20" s="201">
        <f t="shared" si="0"/>
        <v>1000</v>
      </c>
      <c r="H20" s="202">
        <v>45996</v>
      </c>
      <c r="I20" s="202">
        <v>46027</v>
      </c>
      <c r="J20" s="203"/>
      <c r="K20" s="204">
        <v>45996</v>
      </c>
      <c r="L20" s="211">
        <v>45662</v>
      </c>
      <c r="M20" s="196"/>
      <c r="N20" s="196"/>
      <c r="O20" s="196"/>
      <c r="P20" s="196"/>
      <c r="Q20" s="196"/>
      <c r="R20" s="196"/>
      <c r="S20" s="196"/>
      <c r="T20" s="196"/>
    </row>
    <row r="21" spans="1:20" s="206" customFormat="1" ht="30" customHeight="1" x14ac:dyDescent="0.25">
      <c r="A21" s="196" t="s">
        <v>80</v>
      </c>
      <c r="B21" s="196" t="s">
        <v>76</v>
      </c>
      <c r="C21" s="197">
        <v>5000</v>
      </c>
      <c r="D21" s="209">
        <v>45892</v>
      </c>
      <c r="E21" s="199">
        <v>15000</v>
      </c>
      <c r="F21" s="200">
        <v>10</v>
      </c>
      <c r="G21" s="201">
        <f t="shared" si="0"/>
        <v>1500</v>
      </c>
      <c r="H21" s="202">
        <v>45935</v>
      </c>
      <c r="I21" s="202">
        <v>46208</v>
      </c>
      <c r="J21" s="203"/>
      <c r="K21" s="204">
        <v>45935</v>
      </c>
      <c r="L21" s="204">
        <v>45966</v>
      </c>
      <c r="M21" s="204">
        <v>45996</v>
      </c>
      <c r="N21" s="211">
        <v>45662</v>
      </c>
      <c r="O21" s="204">
        <v>45693</v>
      </c>
      <c r="P21" s="204">
        <v>45721</v>
      </c>
      <c r="Q21" s="204">
        <v>45387</v>
      </c>
      <c r="R21" s="204">
        <v>45417</v>
      </c>
      <c r="S21" s="204">
        <v>45813</v>
      </c>
      <c r="T21" s="204">
        <v>45843</v>
      </c>
    </row>
    <row r="22" spans="1:20" s="206" customFormat="1" ht="30" customHeight="1" x14ac:dyDescent="0.25">
      <c r="A22" s="207" t="s">
        <v>75</v>
      </c>
      <c r="B22" s="196" t="s">
        <v>76</v>
      </c>
      <c r="C22" s="197">
        <v>3900</v>
      </c>
      <c r="D22" s="198">
        <v>45941</v>
      </c>
      <c r="E22" s="199">
        <v>2000</v>
      </c>
      <c r="F22" s="200">
        <v>3</v>
      </c>
      <c r="G22" s="201">
        <f t="shared" si="0"/>
        <v>666.66666666666663</v>
      </c>
      <c r="H22" s="202">
        <v>45966</v>
      </c>
      <c r="I22" s="202">
        <v>46027</v>
      </c>
      <c r="J22" s="203"/>
      <c r="K22" s="204">
        <v>45966</v>
      </c>
      <c r="L22" s="204">
        <v>45996</v>
      </c>
      <c r="M22" s="211">
        <v>45662</v>
      </c>
      <c r="N22" s="204"/>
      <c r="O22" s="204"/>
      <c r="P22" s="205"/>
      <c r="Q22" s="205"/>
      <c r="R22" s="205"/>
      <c r="S22" s="205"/>
      <c r="T22" s="205"/>
    </row>
    <row r="23" spans="1:20" s="206" customFormat="1" ht="30" customHeight="1" x14ac:dyDescent="0.25">
      <c r="A23" s="207" t="s">
        <v>67</v>
      </c>
      <c r="B23" s="210" t="s">
        <v>68</v>
      </c>
      <c r="C23" s="197">
        <v>1880</v>
      </c>
      <c r="D23" s="198">
        <v>45920</v>
      </c>
      <c r="E23" s="199">
        <v>2000</v>
      </c>
      <c r="F23" s="200">
        <v>5</v>
      </c>
      <c r="G23" s="201">
        <f t="shared" si="0"/>
        <v>400</v>
      </c>
      <c r="H23" s="202">
        <v>45935</v>
      </c>
      <c r="I23" s="202">
        <v>46058</v>
      </c>
      <c r="J23" s="203"/>
      <c r="K23" s="204">
        <v>45935</v>
      </c>
      <c r="L23" s="204">
        <v>45966</v>
      </c>
      <c r="M23" s="204">
        <v>45996</v>
      </c>
      <c r="N23" s="211">
        <v>45662</v>
      </c>
      <c r="O23" s="204">
        <v>45693</v>
      </c>
      <c r="P23" s="205"/>
      <c r="Q23" s="205"/>
      <c r="R23" s="205"/>
      <c r="S23" s="205"/>
      <c r="T23" s="205"/>
    </row>
    <row r="24" spans="1:20" s="206" customFormat="1" ht="30" customHeight="1" x14ac:dyDescent="0.25">
      <c r="A24" s="207" t="s">
        <v>70</v>
      </c>
      <c r="B24" s="210" t="s">
        <v>68</v>
      </c>
      <c r="C24" s="197">
        <v>5000</v>
      </c>
      <c r="D24" s="198">
        <v>45927</v>
      </c>
      <c r="E24" s="199">
        <v>3000</v>
      </c>
      <c r="F24" s="200">
        <v>3</v>
      </c>
      <c r="G24" s="201">
        <f t="shared" si="0"/>
        <v>1000</v>
      </c>
      <c r="H24" s="202">
        <v>45966</v>
      </c>
      <c r="I24" s="202">
        <v>46027</v>
      </c>
      <c r="J24" s="203"/>
      <c r="K24" s="204">
        <v>45966</v>
      </c>
      <c r="L24" s="204">
        <v>45996</v>
      </c>
      <c r="M24" s="211">
        <v>45662</v>
      </c>
      <c r="N24" s="204"/>
      <c r="O24" s="204"/>
      <c r="P24" s="205"/>
      <c r="Q24" s="205"/>
      <c r="R24" s="205"/>
      <c r="S24" s="205"/>
      <c r="T24" s="205"/>
    </row>
    <row r="25" spans="1:20" s="148" customFormat="1" ht="30" customHeight="1" thickBot="1" x14ac:dyDescent="0.35">
      <c r="A25" s="184"/>
      <c r="B25" s="139"/>
      <c r="C25" s="140"/>
      <c r="D25" s="189"/>
      <c r="E25" s="141"/>
      <c r="F25" s="142"/>
      <c r="G25" s="143"/>
      <c r="H25" s="193"/>
      <c r="I25" s="193"/>
      <c r="J25" s="144"/>
      <c r="K25" s="145"/>
      <c r="L25" s="146"/>
      <c r="M25" s="145"/>
      <c r="N25" s="145"/>
      <c r="O25" s="145"/>
      <c r="P25" s="147"/>
      <c r="Q25" s="147"/>
      <c r="R25" s="147"/>
      <c r="S25" s="147"/>
      <c r="T25" s="142"/>
    </row>
    <row r="26" spans="1:20" s="55" customFormat="1" ht="47.25" customHeight="1" thickBot="1" x14ac:dyDescent="0.3">
      <c r="D26" s="190"/>
      <c r="E26" s="136">
        <f>SUM(E7:E19)</f>
        <v>39900</v>
      </c>
      <c r="G26" s="137">
        <f>SUM(G7:G19)</f>
        <v>7655</v>
      </c>
      <c r="H26" s="194"/>
      <c r="I26" s="194"/>
      <c r="L26" s="30"/>
    </row>
    <row r="27" spans="1:20" s="30" customFormat="1" x14ac:dyDescent="0.25">
      <c r="B27" s="31"/>
      <c r="D27" s="185"/>
      <c r="H27" s="192"/>
      <c r="I27" s="192"/>
    </row>
    <row r="28" spans="1:20" s="30" customFormat="1" x14ac:dyDescent="0.25">
      <c r="B28" s="31"/>
      <c r="D28" s="185"/>
      <c r="H28" s="192"/>
      <c r="I28" s="192"/>
    </row>
    <row r="33" spans="2:9" s="30" customFormat="1" x14ac:dyDescent="0.25">
      <c r="B33" s="31"/>
      <c r="D33" s="185"/>
      <c r="H33" s="192"/>
      <c r="I33" s="192"/>
    </row>
    <row r="34" spans="2:9" s="30" customFormat="1" x14ac:dyDescent="0.25">
      <c r="B34" s="31"/>
      <c r="D34" s="185"/>
      <c r="H34" s="192"/>
      <c r="I34" s="192"/>
    </row>
    <row r="35" spans="2:9" s="30" customFormat="1" x14ac:dyDescent="0.25">
      <c r="B35" s="31"/>
      <c r="D35" s="185"/>
      <c r="H35" s="192"/>
      <c r="I35" s="192"/>
    </row>
    <row r="36" spans="2:9" s="30" customFormat="1" x14ac:dyDescent="0.25">
      <c r="B36" s="31"/>
      <c r="D36" s="185"/>
      <c r="H36" s="192"/>
      <c r="I36" s="192"/>
    </row>
    <row r="37" spans="2:9" s="30" customFormat="1" x14ac:dyDescent="0.25">
      <c r="B37" s="31"/>
      <c r="D37" s="185"/>
      <c r="H37" s="192"/>
      <c r="I37" s="192"/>
    </row>
    <row r="38" spans="2:9" s="30" customFormat="1" x14ac:dyDescent="0.25">
      <c r="B38" s="31"/>
      <c r="D38" s="185"/>
      <c r="H38" s="192"/>
      <c r="I38" s="192"/>
    </row>
    <row r="39" spans="2:9" s="30" customFormat="1" x14ac:dyDescent="0.25">
      <c r="B39" s="31"/>
      <c r="D39" s="185"/>
      <c r="H39" s="192"/>
      <c r="I39" s="192"/>
    </row>
    <row r="40" spans="2:9" s="30" customFormat="1" x14ac:dyDescent="0.25">
      <c r="B40" s="31"/>
      <c r="D40" s="185"/>
      <c r="H40" s="192"/>
      <c r="I40" s="192"/>
    </row>
    <row r="41" spans="2:9" s="30" customFormat="1" x14ac:dyDescent="0.25">
      <c r="B41" s="31"/>
      <c r="D41" s="185"/>
      <c r="H41" s="192"/>
      <c r="I41" s="192"/>
    </row>
    <row r="42" spans="2:9" s="30" customFormat="1" x14ac:dyDescent="0.25">
      <c r="B42" s="31"/>
      <c r="D42" s="185"/>
      <c r="H42" s="192"/>
      <c r="I42" s="192"/>
    </row>
    <row r="43" spans="2:9" s="30" customFormat="1" x14ac:dyDescent="0.25">
      <c r="B43" s="31"/>
      <c r="D43" s="185"/>
      <c r="H43" s="192"/>
      <c r="I43" s="192"/>
    </row>
    <row r="44" spans="2:9" s="30" customFormat="1" x14ac:dyDescent="0.25">
      <c r="B44" s="31"/>
      <c r="D44" s="185"/>
      <c r="H44" s="192"/>
      <c r="I44" s="192"/>
    </row>
    <row r="45" spans="2:9" s="30" customFormat="1" x14ac:dyDescent="0.25">
      <c r="B45" s="31"/>
      <c r="D45" s="185"/>
      <c r="H45" s="192"/>
      <c r="I45" s="192"/>
    </row>
    <row r="46" spans="2:9" s="30" customFormat="1" x14ac:dyDescent="0.25">
      <c r="B46" s="31"/>
      <c r="D46" s="185"/>
      <c r="H46" s="192"/>
      <c r="I46" s="192"/>
    </row>
    <row r="47" spans="2:9" s="30" customFormat="1" x14ac:dyDescent="0.25">
      <c r="B47" s="31"/>
      <c r="D47" s="185"/>
      <c r="H47" s="192"/>
      <c r="I47" s="192"/>
    </row>
    <row r="48" spans="2:9" s="30" customFormat="1" x14ac:dyDescent="0.25">
      <c r="B48" s="31"/>
      <c r="D48" s="185"/>
      <c r="H48" s="192"/>
      <c r="I48" s="192"/>
    </row>
    <row r="49" spans="2:9" s="30" customFormat="1" x14ac:dyDescent="0.25">
      <c r="B49" s="31"/>
      <c r="D49" s="185"/>
      <c r="H49" s="192"/>
      <c r="I49" s="192"/>
    </row>
    <row r="50" spans="2:9" s="30" customFormat="1" x14ac:dyDescent="0.25">
      <c r="B50" s="31"/>
      <c r="D50" s="185"/>
      <c r="H50" s="192"/>
      <c r="I50" s="192"/>
    </row>
    <row r="51" spans="2:9" s="30" customFormat="1" x14ac:dyDescent="0.25">
      <c r="B51" s="31"/>
      <c r="D51" s="185"/>
      <c r="H51" s="192"/>
      <c r="I51" s="192"/>
    </row>
    <row r="52" spans="2:9" s="30" customFormat="1" x14ac:dyDescent="0.25">
      <c r="B52" s="31"/>
      <c r="D52" s="185"/>
      <c r="H52" s="192"/>
      <c r="I52" s="192"/>
    </row>
    <row r="53" spans="2:9" s="30" customFormat="1" x14ac:dyDescent="0.25">
      <c r="B53" s="31"/>
      <c r="D53" s="185"/>
      <c r="H53" s="192"/>
      <c r="I53" s="192"/>
    </row>
    <row r="54" spans="2:9" s="30" customFormat="1" x14ac:dyDescent="0.25">
      <c r="B54" s="31"/>
      <c r="D54" s="185"/>
      <c r="H54" s="192"/>
      <c r="I54" s="192"/>
    </row>
    <row r="55" spans="2:9" s="30" customFormat="1" x14ac:dyDescent="0.25">
      <c r="B55" s="31"/>
      <c r="D55" s="185"/>
      <c r="H55" s="192"/>
      <c r="I55" s="192"/>
    </row>
    <row r="56" spans="2:9" s="30" customFormat="1" x14ac:dyDescent="0.25">
      <c r="B56" s="31"/>
      <c r="D56" s="185"/>
      <c r="H56" s="192"/>
      <c r="I56" s="192"/>
    </row>
    <row r="57" spans="2:9" s="30" customFormat="1" x14ac:dyDescent="0.25">
      <c r="B57" s="31"/>
      <c r="D57" s="185"/>
      <c r="H57" s="192"/>
      <c r="I57" s="192"/>
    </row>
    <row r="58" spans="2:9" s="30" customFormat="1" x14ac:dyDescent="0.25">
      <c r="B58" s="31"/>
      <c r="D58" s="185"/>
      <c r="H58" s="192"/>
      <c r="I58" s="192"/>
    </row>
    <row r="59" spans="2:9" s="30" customFormat="1" x14ac:dyDescent="0.25">
      <c r="B59" s="31"/>
      <c r="D59" s="185"/>
      <c r="H59" s="192"/>
      <c r="I59" s="192"/>
    </row>
    <row r="60" spans="2:9" s="30" customFormat="1" x14ac:dyDescent="0.25">
      <c r="B60" s="31"/>
      <c r="D60" s="185"/>
      <c r="H60" s="192"/>
      <c r="I60" s="192"/>
    </row>
    <row r="61" spans="2:9" s="30" customFormat="1" x14ac:dyDescent="0.25">
      <c r="B61" s="31"/>
      <c r="D61" s="185"/>
      <c r="H61" s="192"/>
      <c r="I61" s="192"/>
    </row>
    <row r="62" spans="2:9" s="30" customFormat="1" x14ac:dyDescent="0.25">
      <c r="B62" s="31"/>
      <c r="D62" s="185"/>
      <c r="H62" s="192"/>
      <c r="I62" s="192"/>
    </row>
    <row r="63" spans="2:9" s="30" customFormat="1" x14ac:dyDescent="0.25">
      <c r="B63" s="31"/>
      <c r="D63" s="185"/>
      <c r="H63" s="192"/>
      <c r="I63" s="192"/>
    </row>
    <row r="64" spans="2:9" s="30" customFormat="1" x14ac:dyDescent="0.25">
      <c r="B64" s="31"/>
      <c r="D64" s="185"/>
      <c r="H64" s="192"/>
      <c r="I64" s="192"/>
    </row>
    <row r="65" spans="2:9" s="30" customFormat="1" x14ac:dyDescent="0.25">
      <c r="B65" s="31"/>
      <c r="D65" s="185"/>
      <c r="H65" s="192"/>
      <c r="I65" s="192"/>
    </row>
    <row r="66" spans="2:9" s="30" customFormat="1" x14ac:dyDescent="0.25">
      <c r="B66" s="31"/>
      <c r="D66" s="185"/>
      <c r="H66" s="192"/>
      <c r="I66" s="192"/>
    </row>
    <row r="67" spans="2:9" s="30" customFormat="1" x14ac:dyDescent="0.25">
      <c r="B67" s="31"/>
      <c r="D67" s="185"/>
      <c r="H67" s="192"/>
      <c r="I67" s="192"/>
    </row>
    <row r="68" spans="2:9" s="30" customFormat="1" x14ac:dyDescent="0.25">
      <c r="B68" s="31"/>
      <c r="D68" s="185"/>
      <c r="H68" s="192"/>
      <c r="I68" s="192"/>
    </row>
    <row r="69" spans="2:9" s="30" customFormat="1" x14ac:dyDescent="0.25">
      <c r="B69" s="31"/>
      <c r="D69" s="185"/>
      <c r="H69" s="192"/>
      <c r="I69" s="192"/>
    </row>
    <row r="70" spans="2:9" s="30" customFormat="1" x14ac:dyDescent="0.25">
      <c r="B70" s="31"/>
      <c r="D70" s="185"/>
      <c r="H70" s="192"/>
      <c r="I70" s="192"/>
    </row>
    <row r="71" spans="2:9" s="30" customFormat="1" x14ac:dyDescent="0.25">
      <c r="B71" s="31"/>
      <c r="D71" s="185"/>
      <c r="H71" s="192"/>
      <c r="I71" s="192"/>
    </row>
    <row r="72" spans="2:9" s="30" customFormat="1" x14ac:dyDescent="0.25">
      <c r="B72" s="31"/>
      <c r="D72" s="185"/>
      <c r="H72" s="192"/>
      <c r="I72" s="192"/>
    </row>
    <row r="73" spans="2:9" s="30" customFormat="1" x14ac:dyDescent="0.25">
      <c r="B73" s="31"/>
      <c r="D73" s="185"/>
      <c r="H73" s="192"/>
      <c r="I73" s="192"/>
    </row>
    <row r="74" spans="2:9" s="30" customFormat="1" x14ac:dyDescent="0.25">
      <c r="B74" s="31"/>
      <c r="D74" s="185"/>
      <c r="H74" s="192"/>
      <c r="I74" s="192"/>
    </row>
    <row r="75" spans="2:9" s="30" customFormat="1" x14ac:dyDescent="0.25">
      <c r="B75" s="31"/>
      <c r="D75" s="185"/>
      <c r="H75" s="192"/>
      <c r="I75" s="192"/>
    </row>
    <row r="76" spans="2:9" s="30" customFormat="1" x14ac:dyDescent="0.25">
      <c r="B76" s="31"/>
      <c r="D76" s="185"/>
      <c r="H76" s="192"/>
      <c r="I76" s="192"/>
    </row>
    <row r="77" spans="2:9" s="30" customFormat="1" x14ac:dyDescent="0.25">
      <c r="B77" s="31"/>
      <c r="D77" s="185"/>
      <c r="H77" s="192"/>
      <c r="I77" s="192"/>
    </row>
    <row r="78" spans="2:9" s="30" customFormat="1" x14ac:dyDescent="0.25">
      <c r="B78" s="31"/>
      <c r="D78" s="185"/>
      <c r="H78" s="192"/>
      <c r="I78" s="192"/>
    </row>
    <row r="79" spans="2:9" s="30" customFormat="1" x14ac:dyDescent="0.25">
      <c r="B79" s="31"/>
      <c r="D79" s="185"/>
      <c r="H79" s="192"/>
      <c r="I79" s="192"/>
    </row>
    <row r="80" spans="2:9" s="30" customFormat="1" x14ac:dyDescent="0.25">
      <c r="B80" s="31"/>
      <c r="D80" s="185"/>
      <c r="H80" s="192"/>
      <c r="I80" s="192"/>
    </row>
    <row r="81" spans="2:9" s="30" customFormat="1" x14ac:dyDescent="0.25">
      <c r="B81" s="31"/>
      <c r="D81" s="185"/>
      <c r="H81" s="192"/>
      <c r="I81" s="192"/>
    </row>
    <row r="82" spans="2:9" s="30" customFormat="1" x14ac:dyDescent="0.25">
      <c r="B82" s="31"/>
      <c r="D82" s="185"/>
      <c r="H82" s="192"/>
      <c r="I82" s="192"/>
    </row>
    <row r="83" spans="2:9" s="30" customFormat="1" x14ac:dyDescent="0.25">
      <c r="B83" s="31"/>
      <c r="D83" s="185"/>
      <c r="H83" s="192"/>
      <c r="I83" s="192"/>
    </row>
    <row r="84" spans="2:9" s="30" customFormat="1" x14ac:dyDescent="0.25">
      <c r="B84" s="31"/>
      <c r="D84" s="185"/>
      <c r="H84" s="192"/>
      <c r="I84" s="192"/>
    </row>
    <row r="85" spans="2:9" s="30" customFormat="1" x14ac:dyDescent="0.25">
      <c r="B85" s="31"/>
      <c r="D85" s="185"/>
      <c r="H85" s="192"/>
      <c r="I85" s="192"/>
    </row>
    <row r="86" spans="2:9" s="30" customFormat="1" x14ac:dyDescent="0.25">
      <c r="B86" s="31"/>
      <c r="D86" s="185"/>
      <c r="H86" s="192"/>
      <c r="I86" s="192"/>
    </row>
    <row r="87" spans="2:9" s="30" customFormat="1" x14ac:dyDescent="0.25">
      <c r="B87" s="31"/>
      <c r="D87" s="185"/>
      <c r="H87" s="192"/>
      <c r="I87" s="192"/>
    </row>
    <row r="88" spans="2:9" s="30" customFormat="1" x14ac:dyDescent="0.25">
      <c r="B88" s="31"/>
      <c r="D88" s="185"/>
      <c r="H88" s="192"/>
      <c r="I88" s="192"/>
    </row>
    <row r="89" spans="2:9" s="30" customFormat="1" x14ac:dyDescent="0.25">
      <c r="B89" s="31"/>
      <c r="D89" s="185"/>
      <c r="H89" s="192"/>
      <c r="I89" s="192"/>
    </row>
    <row r="90" spans="2:9" s="30" customFormat="1" x14ac:dyDescent="0.25">
      <c r="B90" s="31"/>
      <c r="D90" s="185"/>
      <c r="H90" s="192"/>
      <c r="I90" s="192"/>
    </row>
    <row r="91" spans="2:9" s="30" customFormat="1" x14ac:dyDescent="0.25">
      <c r="B91" s="31"/>
      <c r="D91" s="185"/>
      <c r="H91" s="192"/>
      <c r="I91" s="192"/>
    </row>
    <row r="92" spans="2:9" s="30" customFormat="1" x14ac:dyDescent="0.25">
      <c r="B92" s="31"/>
      <c r="D92" s="185"/>
      <c r="H92" s="192"/>
      <c r="I92" s="192"/>
    </row>
    <row r="93" spans="2:9" s="30" customFormat="1" x14ac:dyDescent="0.25">
      <c r="B93" s="31"/>
      <c r="D93" s="185"/>
      <c r="H93" s="192"/>
      <c r="I93" s="192"/>
    </row>
    <row r="94" spans="2:9" s="30" customFormat="1" x14ac:dyDescent="0.25">
      <c r="B94" s="31"/>
      <c r="D94" s="185"/>
      <c r="H94" s="192"/>
      <c r="I94" s="192"/>
    </row>
    <row r="95" spans="2:9" s="30" customFormat="1" x14ac:dyDescent="0.25">
      <c r="B95" s="31"/>
      <c r="D95" s="185"/>
      <c r="H95" s="192"/>
      <c r="I95" s="192"/>
    </row>
    <row r="96" spans="2:9" s="30" customFormat="1" x14ac:dyDescent="0.25">
      <c r="B96" s="31"/>
      <c r="D96" s="185"/>
      <c r="H96" s="192"/>
      <c r="I96" s="192"/>
    </row>
    <row r="97" spans="2:9" s="30" customFormat="1" x14ac:dyDescent="0.25">
      <c r="B97" s="31"/>
      <c r="D97" s="185"/>
      <c r="H97" s="192"/>
      <c r="I97" s="192"/>
    </row>
    <row r="98" spans="2:9" s="30" customFormat="1" x14ac:dyDescent="0.25">
      <c r="B98" s="31"/>
      <c r="D98" s="185"/>
      <c r="H98" s="192"/>
      <c r="I98" s="192"/>
    </row>
    <row r="99" spans="2:9" s="30" customFormat="1" x14ac:dyDescent="0.25">
      <c r="B99" s="31"/>
      <c r="D99" s="185"/>
      <c r="H99" s="192"/>
      <c r="I99" s="192"/>
    </row>
    <row r="100" spans="2:9" s="30" customFormat="1" x14ac:dyDescent="0.25">
      <c r="B100" s="31"/>
      <c r="D100" s="185"/>
      <c r="H100" s="192"/>
      <c r="I100" s="192"/>
    </row>
    <row r="101" spans="2:9" s="30" customFormat="1" x14ac:dyDescent="0.25">
      <c r="B101" s="31"/>
      <c r="D101" s="185"/>
      <c r="H101" s="192"/>
      <c r="I101" s="192"/>
    </row>
    <row r="102" spans="2:9" s="30" customFormat="1" x14ac:dyDescent="0.25">
      <c r="B102" s="31"/>
      <c r="D102" s="185"/>
      <c r="H102" s="192"/>
      <c r="I102" s="192"/>
    </row>
    <row r="103" spans="2:9" s="30" customFormat="1" x14ac:dyDescent="0.25">
      <c r="B103" s="31"/>
      <c r="D103" s="185"/>
      <c r="H103" s="192"/>
      <c r="I103" s="192"/>
    </row>
    <row r="104" spans="2:9" s="30" customFormat="1" x14ac:dyDescent="0.25">
      <c r="B104" s="31"/>
      <c r="D104" s="185"/>
      <c r="H104" s="192"/>
      <c r="I104" s="192"/>
    </row>
    <row r="105" spans="2:9" s="30" customFormat="1" x14ac:dyDescent="0.25">
      <c r="B105" s="31"/>
      <c r="D105" s="185"/>
      <c r="H105" s="192"/>
      <c r="I105" s="192"/>
    </row>
    <row r="106" spans="2:9" s="30" customFormat="1" x14ac:dyDescent="0.25">
      <c r="B106" s="31"/>
      <c r="D106" s="185"/>
      <c r="H106" s="192"/>
      <c r="I106" s="192"/>
    </row>
    <row r="107" spans="2:9" s="30" customFormat="1" x14ac:dyDescent="0.25">
      <c r="B107" s="31"/>
      <c r="D107" s="185"/>
      <c r="H107" s="192"/>
      <c r="I107" s="192"/>
    </row>
    <row r="108" spans="2:9" s="30" customFormat="1" x14ac:dyDescent="0.25">
      <c r="B108" s="31"/>
      <c r="D108" s="185"/>
      <c r="H108" s="192"/>
      <c r="I108" s="192"/>
    </row>
    <row r="109" spans="2:9" s="30" customFormat="1" x14ac:dyDescent="0.25">
      <c r="B109" s="31"/>
      <c r="D109" s="185"/>
      <c r="H109" s="192"/>
      <c r="I109" s="192"/>
    </row>
    <row r="110" spans="2:9" s="30" customFormat="1" x14ac:dyDescent="0.25">
      <c r="B110" s="31"/>
      <c r="D110" s="185"/>
      <c r="H110" s="192"/>
      <c r="I110" s="192"/>
    </row>
    <row r="111" spans="2:9" s="30" customFormat="1" x14ac:dyDescent="0.25">
      <c r="B111" s="31"/>
      <c r="D111" s="185"/>
      <c r="H111" s="192"/>
      <c r="I111" s="192"/>
    </row>
    <row r="112" spans="2:9" s="30" customFormat="1" x14ac:dyDescent="0.25">
      <c r="B112" s="31"/>
      <c r="D112" s="185"/>
      <c r="H112" s="192"/>
      <c r="I112" s="192"/>
    </row>
    <row r="113" spans="2:9" s="30" customFormat="1" x14ac:dyDescent="0.25">
      <c r="B113" s="31"/>
      <c r="D113" s="185"/>
      <c r="H113" s="192"/>
      <c r="I113" s="192"/>
    </row>
    <row r="114" spans="2:9" s="30" customFormat="1" x14ac:dyDescent="0.25">
      <c r="B114" s="31"/>
      <c r="D114" s="185"/>
      <c r="H114" s="192"/>
      <c r="I114" s="192"/>
    </row>
    <row r="115" spans="2:9" s="30" customFormat="1" x14ac:dyDescent="0.25">
      <c r="B115" s="31"/>
      <c r="D115" s="185"/>
      <c r="H115" s="192"/>
      <c r="I115" s="192"/>
    </row>
    <row r="116" spans="2:9" s="30" customFormat="1" x14ac:dyDescent="0.25">
      <c r="B116" s="31"/>
      <c r="D116" s="185"/>
      <c r="H116" s="192"/>
      <c r="I116" s="192"/>
    </row>
    <row r="117" spans="2:9" s="30" customFormat="1" x14ac:dyDescent="0.25">
      <c r="B117" s="31"/>
      <c r="D117" s="185"/>
      <c r="H117" s="192"/>
      <c r="I117" s="192"/>
    </row>
    <row r="118" spans="2:9" s="30" customFormat="1" x14ac:dyDescent="0.25">
      <c r="B118" s="31"/>
      <c r="D118" s="185"/>
      <c r="H118" s="192"/>
      <c r="I118" s="192"/>
    </row>
    <row r="119" spans="2:9" s="30" customFormat="1" x14ac:dyDescent="0.25">
      <c r="B119" s="31"/>
      <c r="D119" s="185"/>
      <c r="H119" s="192"/>
      <c r="I119" s="192"/>
    </row>
    <row r="120" spans="2:9" s="30" customFormat="1" x14ac:dyDescent="0.25">
      <c r="B120" s="31"/>
      <c r="D120" s="185"/>
      <c r="H120" s="192"/>
      <c r="I120" s="192"/>
    </row>
    <row r="121" spans="2:9" s="30" customFormat="1" x14ac:dyDescent="0.25">
      <c r="B121" s="31"/>
      <c r="D121" s="185"/>
      <c r="H121" s="192"/>
      <c r="I121" s="192"/>
    </row>
    <row r="122" spans="2:9" s="30" customFormat="1" x14ac:dyDescent="0.25">
      <c r="B122" s="31"/>
      <c r="D122" s="185"/>
      <c r="H122" s="192"/>
      <c r="I122" s="192"/>
    </row>
    <row r="123" spans="2:9" s="30" customFormat="1" x14ac:dyDescent="0.25">
      <c r="B123" s="31"/>
      <c r="D123" s="185"/>
      <c r="H123" s="192"/>
      <c r="I123" s="192"/>
    </row>
    <row r="124" spans="2:9" s="30" customFormat="1" x14ac:dyDescent="0.25">
      <c r="B124" s="31"/>
      <c r="D124" s="185"/>
      <c r="H124" s="192"/>
      <c r="I124" s="192"/>
    </row>
    <row r="125" spans="2:9" s="30" customFormat="1" x14ac:dyDescent="0.25">
      <c r="B125" s="31"/>
      <c r="D125" s="185"/>
      <c r="H125" s="192"/>
      <c r="I125" s="192"/>
    </row>
    <row r="126" spans="2:9" s="30" customFormat="1" x14ac:dyDescent="0.25">
      <c r="B126" s="31"/>
      <c r="D126" s="185"/>
      <c r="H126" s="192"/>
      <c r="I126" s="192"/>
    </row>
    <row r="127" spans="2:9" s="30" customFormat="1" x14ac:dyDescent="0.25">
      <c r="B127" s="31"/>
      <c r="D127" s="185"/>
      <c r="H127" s="192"/>
      <c r="I127" s="192"/>
    </row>
    <row r="128" spans="2:9" s="30" customFormat="1" x14ac:dyDescent="0.25">
      <c r="B128" s="31"/>
      <c r="D128" s="185"/>
      <c r="H128" s="192"/>
      <c r="I128" s="192"/>
    </row>
    <row r="129" spans="2:9" s="30" customFormat="1" x14ac:dyDescent="0.25">
      <c r="B129" s="31"/>
      <c r="D129" s="185"/>
      <c r="H129" s="192"/>
      <c r="I129" s="192"/>
    </row>
    <row r="130" spans="2:9" s="30" customFormat="1" x14ac:dyDescent="0.25">
      <c r="B130" s="31"/>
      <c r="D130" s="185"/>
      <c r="H130" s="192"/>
      <c r="I130" s="192"/>
    </row>
    <row r="131" spans="2:9" s="30" customFormat="1" x14ac:dyDescent="0.25">
      <c r="B131" s="31"/>
      <c r="D131" s="185"/>
      <c r="H131" s="192"/>
      <c r="I131" s="192"/>
    </row>
    <row r="132" spans="2:9" s="30" customFormat="1" x14ac:dyDescent="0.25">
      <c r="B132" s="31"/>
      <c r="D132" s="185"/>
      <c r="H132" s="192"/>
      <c r="I132" s="192"/>
    </row>
    <row r="133" spans="2:9" s="30" customFormat="1" x14ac:dyDescent="0.25">
      <c r="B133" s="31"/>
      <c r="D133" s="185"/>
      <c r="H133" s="192"/>
      <c r="I133" s="192"/>
    </row>
    <row r="134" spans="2:9" s="30" customFormat="1" x14ac:dyDescent="0.25">
      <c r="B134" s="31"/>
      <c r="D134" s="185"/>
      <c r="H134" s="192"/>
      <c r="I134" s="192"/>
    </row>
    <row r="135" spans="2:9" s="30" customFormat="1" x14ac:dyDescent="0.25">
      <c r="B135" s="31"/>
      <c r="D135" s="185"/>
      <c r="H135" s="192"/>
      <c r="I135" s="192"/>
    </row>
    <row r="136" spans="2:9" s="30" customFormat="1" x14ac:dyDescent="0.25">
      <c r="B136" s="31"/>
      <c r="D136" s="185"/>
      <c r="H136" s="192"/>
      <c r="I136" s="192"/>
    </row>
    <row r="137" spans="2:9" s="30" customFormat="1" x14ac:dyDescent="0.25">
      <c r="B137" s="31"/>
      <c r="D137" s="185"/>
      <c r="H137" s="192"/>
      <c r="I137" s="192"/>
    </row>
    <row r="138" spans="2:9" s="30" customFormat="1" x14ac:dyDescent="0.25">
      <c r="B138" s="31"/>
      <c r="D138" s="185"/>
      <c r="H138" s="192"/>
      <c r="I138" s="192"/>
    </row>
    <row r="139" spans="2:9" s="30" customFormat="1" x14ac:dyDescent="0.25">
      <c r="B139" s="31"/>
      <c r="D139" s="185"/>
      <c r="H139" s="192"/>
      <c r="I139" s="192"/>
    </row>
    <row r="140" spans="2:9" s="30" customFormat="1" x14ac:dyDescent="0.25">
      <c r="B140" s="31"/>
      <c r="D140" s="185"/>
      <c r="H140" s="192"/>
      <c r="I140" s="192"/>
    </row>
    <row r="141" spans="2:9" s="30" customFormat="1" x14ac:dyDescent="0.25">
      <c r="B141" s="31"/>
      <c r="D141" s="185"/>
      <c r="H141" s="192"/>
      <c r="I141" s="192"/>
    </row>
    <row r="142" spans="2:9" s="30" customFormat="1" x14ac:dyDescent="0.25">
      <c r="B142" s="31"/>
      <c r="D142" s="185"/>
      <c r="H142" s="192"/>
      <c r="I142" s="192"/>
    </row>
    <row r="143" spans="2:9" s="30" customFormat="1" x14ac:dyDescent="0.25">
      <c r="B143" s="31"/>
      <c r="D143" s="185"/>
      <c r="H143" s="192"/>
      <c r="I143" s="192"/>
    </row>
    <row r="144" spans="2:9" s="30" customFormat="1" x14ac:dyDescent="0.25">
      <c r="B144" s="31"/>
      <c r="D144" s="185"/>
      <c r="H144" s="192"/>
      <c r="I144" s="192"/>
    </row>
    <row r="145" spans="2:9" s="30" customFormat="1" x14ac:dyDescent="0.25">
      <c r="B145" s="31"/>
      <c r="D145" s="185"/>
      <c r="H145" s="192"/>
      <c r="I145" s="192"/>
    </row>
    <row r="146" spans="2:9" s="30" customFormat="1" x14ac:dyDescent="0.25">
      <c r="B146" s="31"/>
      <c r="D146" s="185"/>
      <c r="H146" s="192"/>
      <c r="I146" s="192"/>
    </row>
    <row r="147" spans="2:9" s="30" customFormat="1" x14ac:dyDescent="0.25">
      <c r="B147" s="31"/>
      <c r="D147" s="185"/>
      <c r="H147" s="192"/>
      <c r="I147" s="192"/>
    </row>
    <row r="148" spans="2:9" s="30" customFormat="1" x14ac:dyDescent="0.25">
      <c r="B148" s="31"/>
      <c r="D148" s="185"/>
      <c r="H148" s="192"/>
      <c r="I148" s="192"/>
    </row>
    <row r="149" spans="2:9" s="30" customFormat="1" x14ac:dyDescent="0.25">
      <c r="B149" s="31"/>
      <c r="D149" s="185"/>
      <c r="H149" s="192"/>
      <c r="I149" s="192"/>
    </row>
    <row r="150" spans="2:9" s="30" customFormat="1" x14ac:dyDescent="0.25">
      <c r="B150" s="31"/>
      <c r="D150" s="185"/>
      <c r="H150" s="192"/>
      <c r="I150" s="192"/>
    </row>
    <row r="151" spans="2:9" s="30" customFormat="1" x14ac:dyDescent="0.25">
      <c r="B151" s="31"/>
      <c r="D151" s="185"/>
      <c r="H151" s="192"/>
      <c r="I151" s="192"/>
    </row>
    <row r="152" spans="2:9" s="30" customFormat="1" x14ac:dyDescent="0.25">
      <c r="B152" s="31"/>
      <c r="D152" s="185"/>
      <c r="H152" s="192"/>
      <c r="I152" s="192"/>
    </row>
    <row r="153" spans="2:9" s="30" customFormat="1" x14ac:dyDescent="0.25">
      <c r="B153" s="31"/>
      <c r="D153" s="185"/>
      <c r="H153" s="192"/>
      <c r="I153" s="192"/>
    </row>
    <row r="154" spans="2:9" s="30" customFormat="1" x14ac:dyDescent="0.25">
      <c r="B154" s="31"/>
      <c r="D154" s="185"/>
      <c r="H154" s="192"/>
      <c r="I154" s="192"/>
    </row>
    <row r="155" spans="2:9" s="30" customFormat="1" x14ac:dyDescent="0.25">
      <c r="B155" s="31"/>
      <c r="D155" s="185"/>
      <c r="H155" s="192"/>
      <c r="I155" s="192"/>
    </row>
    <row r="156" spans="2:9" s="30" customFormat="1" x14ac:dyDescent="0.25">
      <c r="B156" s="31"/>
      <c r="D156" s="185"/>
      <c r="H156" s="192"/>
      <c r="I156" s="192"/>
    </row>
    <row r="157" spans="2:9" s="30" customFormat="1" x14ac:dyDescent="0.25">
      <c r="B157" s="31"/>
      <c r="D157" s="185"/>
      <c r="H157" s="192"/>
      <c r="I157" s="192"/>
    </row>
    <row r="158" spans="2:9" s="30" customFormat="1" x14ac:dyDescent="0.25">
      <c r="B158" s="31"/>
      <c r="D158" s="185"/>
      <c r="H158" s="192"/>
      <c r="I158" s="192"/>
    </row>
    <row r="159" spans="2:9" s="30" customFormat="1" x14ac:dyDescent="0.25">
      <c r="B159" s="31"/>
      <c r="D159" s="185"/>
      <c r="H159" s="192"/>
      <c r="I159" s="192"/>
    </row>
    <row r="160" spans="2:9" s="30" customFormat="1" x14ac:dyDescent="0.25">
      <c r="B160" s="31"/>
      <c r="D160" s="185"/>
      <c r="H160" s="192"/>
      <c r="I160" s="192"/>
    </row>
    <row r="161" spans="2:9" s="30" customFormat="1" x14ac:dyDescent="0.25">
      <c r="B161" s="31"/>
      <c r="D161" s="185"/>
      <c r="H161" s="192"/>
      <c r="I161" s="192"/>
    </row>
    <row r="162" spans="2:9" s="30" customFormat="1" x14ac:dyDescent="0.25">
      <c r="B162" s="31"/>
      <c r="D162" s="185"/>
      <c r="H162" s="192"/>
      <c r="I162" s="192"/>
    </row>
    <row r="163" spans="2:9" s="30" customFormat="1" x14ac:dyDescent="0.25">
      <c r="B163" s="31"/>
      <c r="D163" s="185"/>
      <c r="H163" s="192"/>
      <c r="I163" s="192"/>
    </row>
    <row r="164" spans="2:9" s="30" customFormat="1" x14ac:dyDescent="0.25">
      <c r="B164" s="31"/>
      <c r="D164" s="185"/>
      <c r="H164" s="192"/>
      <c r="I164" s="192"/>
    </row>
    <row r="165" spans="2:9" s="30" customFormat="1" x14ac:dyDescent="0.25">
      <c r="B165" s="31"/>
      <c r="D165" s="185"/>
      <c r="H165" s="192"/>
      <c r="I165" s="192"/>
    </row>
    <row r="166" spans="2:9" s="30" customFormat="1" x14ac:dyDescent="0.25">
      <c r="B166" s="31"/>
      <c r="D166" s="185"/>
      <c r="H166" s="192"/>
      <c r="I166" s="192"/>
    </row>
    <row r="167" spans="2:9" s="30" customFormat="1" x14ac:dyDescent="0.25">
      <c r="B167" s="31"/>
      <c r="D167" s="185"/>
      <c r="H167" s="192"/>
      <c r="I167" s="192"/>
    </row>
    <row r="168" spans="2:9" s="30" customFormat="1" x14ac:dyDescent="0.25">
      <c r="B168" s="31"/>
      <c r="D168" s="185"/>
      <c r="H168" s="192"/>
      <c r="I168" s="192"/>
    </row>
    <row r="169" spans="2:9" s="30" customFormat="1" x14ac:dyDescent="0.25">
      <c r="B169" s="31"/>
      <c r="D169" s="185"/>
      <c r="H169" s="192"/>
      <c r="I169" s="192"/>
    </row>
    <row r="170" spans="2:9" s="30" customFormat="1" x14ac:dyDescent="0.25">
      <c r="B170" s="31"/>
      <c r="D170" s="185"/>
      <c r="H170" s="192"/>
      <c r="I170" s="192"/>
    </row>
    <row r="171" spans="2:9" s="30" customFormat="1" x14ac:dyDescent="0.25">
      <c r="B171" s="31"/>
      <c r="D171" s="185"/>
      <c r="H171" s="192"/>
      <c r="I171" s="192"/>
    </row>
    <row r="172" spans="2:9" s="30" customFormat="1" x14ac:dyDescent="0.25">
      <c r="B172" s="31"/>
      <c r="D172" s="185"/>
      <c r="H172" s="192"/>
      <c r="I172" s="192"/>
    </row>
    <row r="173" spans="2:9" s="30" customFormat="1" x14ac:dyDescent="0.25">
      <c r="B173" s="31"/>
      <c r="D173" s="185"/>
      <c r="H173" s="192"/>
      <c r="I173" s="192"/>
    </row>
    <row r="174" spans="2:9" s="30" customFormat="1" x14ac:dyDescent="0.25">
      <c r="B174" s="31"/>
      <c r="D174" s="185"/>
      <c r="H174" s="192"/>
      <c r="I174" s="192"/>
    </row>
    <row r="175" spans="2:9" s="30" customFormat="1" x14ac:dyDescent="0.25">
      <c r="B175" s="31"/>
      <c r="D175" s="185"/>
      <c r="H175" s="192"/>
      <c r="I175" s="192"/>
    </row>
    <row r="176" spans="2:9" s="30" customFormat="1" x14ac:dyDescent="0.25">
      <c r="B176" s="31"/>
      <c r="D176" s="185"/>
      <c r="H176" s="192"/>
      <c r="I176" s="192"/>
    </row>
    <row r="177" spans="2:9" s="30" customFormat="1" x14ac:dyDescent="0.25">
      <c r="B177" s="31"/>
      <c r="D177" s="185"/>
      <c r="H177" s="192"/>
      <c r="I177" s="192"/>
    </row>
    <row r="178" spans="2:9" s="30" customFormat="1" x14ac:dyDescent="0.25">
      <c r="B178" s="31"/>
      <c r="D178" s="185"/>
      <c r="H178" s="192"/>
      <c r="I178" s="192"/>
    </row>
    <row r="179" spans="2:9" s="30" customFormat="1" x14ac:dyDescent="0.25">
      <c r="B179" s="31"/>
      <c r="D179" s="185"/>
      <c r="H179" s="192"/>
      <c r="I179" s="192"/>
    </row>
    <row r="180" spans="2:9" s="30" customFormat="1" x14ac:dyDescent="0.25">
      <c r="B180" s="31"/>
      <c r="D180" s="185"/>
      <c r="H180" s="192"/>
      <c r="I180" s="192"/>
    </row>
  </sheetData>
  <autoFilter ref="A6:T23" xr:uid="{C80232AD-C71B-4BA2-B2C9-52ABB79AAFAC}">
    <sortState xmlns:xlrd2="http://schemas.microsoft.com/office/spreadsheetml/2017/richdata2" ref="A7:T24">
      <sortCondition ref="B6:B23"/>
    </sortState>
  </autoFilter>
  <mergeCells count="1">
    <mergeCell ref="A2:T4"/>
  </mergeCells>
  <pageMargins left="0" right="0" top="0.39370078740157483" bottom="0.39370078740157483" header="0" footer="0"/>
  <pageSetup paperSize="9" scale="1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18CA-E000-4BD1-98FE-08A09214D368}">
  <dimension ref="A2:T59"/>
  <sheetViews>
    <sheetView topLeftCell="A53" workbookViewId="0">
      <selection activeCell="F74" sqref="F74"/>
    </sheetView>
  </sheetViews>
  <sheetFormatPr defaultRowHeight="15" x14ac:dyDescent="0.25"/>
  <cols>
    <col min="1" max="1" width="47.7109375" bestFit="1" customWidth="1"/>
    <col min="2" max="2" width="26.7109375" bestFit="1" customWidth="1"/>
    <col min="3" max="3" width="15.85546875" bestFit="1" customWidth="1"/>
    <col min="4" max="4" width="13.140625" bestFit="1" customWidth="1"/>
    <col min="5" max="5" width="18" bestFit="1" customWidth="1"/>
    <col min="6" max="6" width="8.5703125" bestFit="1" customWidth="1"/>
    <col min="7" max="7" width="15.42578125" bestFit="1" customWidth="1"/>
    <col min="8" max="9" width="13" bestFit="1" customWidth="1"/>
    <col min="10" max="10" width="14" bestFit="1" customWidth="1"/>
    <col min="11" max="14" width="9.42578125" bestFit="1" customWidth="1"/>
    <col min="15" max="15" width="10.7109375" bestFit="1" customWidth="1"/>
    <col min="16" max="16" width="6.42578125" bestFit="1" customWidth="1"/>
    <col min="17" max="20" width="9.28515625" bestFit="1" customWidth="1"/>
  </cols>
  <sheetData>
    <row r="2" spans="1:20" ht="15" customHeight="1" x14ac:dyDescent="0.25">
      <c r="A2" s="108" t="s">
        <v>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</row>
    <row r="3" spans="1:20" ht="15" customHeight="1" x14ac:dyDescent="0.25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</row>
    <row r="4" spans="1:20" ht="15.75" customHeight="1" x14ac:dyDescent="0.25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</row>
    <row r="5" spans="1:20" s="30" customFormat="1" ht="5.25" customHeight="1" thickBot="1" x14ac:dyDescent="0.3">
      <c r="A5" s="32"/>
      <c r="B5" s="33"/>
      <c r="C5" s="33"/>
      <c r="D5" s="33"/>
      <c r="E5" s="33"/>
      <c r="F5" s="33"/>
      <c r="G5" s="33"/>
      <c r="H5" s="33"/>
      <c r="I5" s="33"/>
      <c r="J5" s="33"/>
      <c r="K5" s="34"/>
      <c r="L5" s="34"/>
      <c r="M5" s="34"/>
      <c r="N5" s="34"/>
      <c r="O5" s="34"/>
      <c r="P5" s="34"/>
    </row>
    <row r="6" spans="1:20" s="40" customFormat="1" ht="60.75" thickBot="1" x14ac:dyDescent="0.3">
      <c r="A6" s="35" t="s">
        <v>21</v>
      </c>
      <c r="B6" s="36" t="s">
        <v>0</v>
      </c>
      <c r="C6" s="37" t="s">
        <v>24</v>
      </c>
      <c r="D6" s="37" t="s">
        <v>10</v>
      </c>
      <c r="E6" s="37" t="s">
        <v>14</v>
      </c>
      <c r="F6" s="37" t="s">
        <v>11</v>
      </c>
      <c r="G6" s="37" t="s">
        <v>15</v>
      </c>
      <c r="H6" s="37" t="s">
        <v>12</v>
      </c>
      <c r="I6" s="37" t="s">
        <v>13</v>
      </c>
      <c r="J6" s="38" t="s">
        <v>22</v>
      </c>
      <c r="K6" s="39" t="s">
        <v>23</v>
      </c>
      <c r="L6" s="39" t="s">
        <v>23</v>
      </c>
      <c r="M6" s="39" t="s">
        <v>23</v>
      </c>
      <c r="N6" s="39" t="s">
        <v>23</v>
      </c>
      <c r="O6" s="39" t="s">
        <v>23</v>
      </c>
      <c r="P6" s="39" t="s">
        <v>23</v>
      </c>
      <c r="Q6" s="37" t="s">
        <v>23</v>
      </c>
      <c r="R6" s="37" t="s">
        <v>23</v>
      </c>
      <c r="S6" s="37" t="s">
        <v>23</v>
      </c>
      <c r="T6" s="37" t="s">
        <v>23</v>
      </c>
    </row>
    <row r="7" spans="1:20" ht="24" customHeight="1" x14ac:dyDescent="0.25">
      <c r="A7" s="5" t="s">
        <v>28</v>
      </c>
      <c r="B7" s="16" t="s">
        <v>5</v>
      </c>
      <c r="C7" s="22">
        <v>2500</v>
      </c>
      <c r="D7" s="41">
        <v>45487</v>
      </c>
      <c r="E7" s="24">
        <v>1500</v>
      </c>
      <c r="F7" s="6">
        <v>3</v>
      </c>
      <c r="G7" s="44">
        <v>500</v>
      </c>
      <c r="H7" s="7">
        <v>45540</v>
      </c>
      <c r="I7" s="7">
        <v>45601</v>
      </c>
      <c r="J7" s="49" t="s">
        <v>31</v>
      </c>
      <c r="K7" s="57">
        <v>45540</v>
      </c>
      <c r="L7" s="57">
        <v>45570</v>
      </c>
      <c r="M7" s="57">
        <v>45601</v>
      </c>
      <c r="N7" s="115" t="s">
        <v>37</v>
      </c>
      <c r="O7" s="115"/>
      <c r="P7" s="115"/>
      <c r="Q7" s="115"/>
      <c r="R7" s="115"/>
      <c r="S7" s="115"/>
      <c r="T7" s="115"/>
    </row>
    <row r="8" spans="1:20" ht="24" customHeight="1" x14ac:dyDescent="0.25">
      <c r="A8" s="4" t="s">
        <v>17</v>
      </c>
      <c r="B8" s="16" t="s">
        <v>18</v>
      </c>
      <c r="C8" s="18">
        <v>2900</v>
      </c>
      <c r="D8" s="14">
        <v>45429</v>
      </c>
      <c r="E8" s="24">
        <v>3000</v>
      </c>
      <c r="F8" s="12">
        <v>6</v>
      </c>
      <c r="G8" s="29">
        <v>500</v>
      </c>
      <c r="H8" s="7">
        <v>45478</v>
      </c>
      <c r="I8" s="7">
        <v>45631</v>
      </c>
      <c r="J8" s="17"/>
      <c r="K8" s="57">
        <v>45478</v>
      </c>
      <c r="L8" s="57">
        <v>45509</v>
      </c>
      <c r="M8" s="57">
        <v>45540</v>
      </c>
      <c r="N8" s="57">
        <v>45570</v>
      </c>
      <c r="O8" s="57">
        <v>45601</v>
      </c>
      <c r="P8" s="65">
        <v>45631</v>
      </c>
      <c r="Q8" s="48"/>
      <c r="R8" s="48"/>
      <c r="S8" s="48"/>
      <c r="T8" s="48"/>
    </row>
    <row r="9" spans="1:20" ht="24" customHeight="1" x14ac:dyDescent="0.25">
      <c r="A9" s="42" t="s">
        <v>27</v>
      </c>
      <c r="B9" s="46" t="s">
        <v>8</v>
      </c>
      <c r="C9" s="22">
        <v>2900</v>
      </c>
      <c r="D9" s="15">
        <v>45458</v>
      </c>
      <c r="E9" s="24">
        <v>2000</v>
      </c>
      <c r="F9" s="8">
        <v>4</v>
      </c>
      <c r="G9" s="28">
        <v>500</v>
      </c>
      <c r="H9" s="9">
        <v>45478</v>
      </c>
      <c r="I9" s="9">
        <v>45570</v>
      </c>
      <c r="J9" s="16"/>
      <c r="K9" s="57">
        <v>45478</v>
      </c>
      <c r="L9" s="57">
        <v>45509</v>
      </c>
      <c r="M9" s="57">
        <v>45540</v>
      </c>
      <c r="N9" s="56">
        <v>45570</v>
      </c>
      <c r="O9" s="43"/>
      <c r="P9" s="43"/>
      <c r="Q9" s="48"/>
      <c r="R9" s="48"/>
      <c r="S9" s="48"/>
      <c r="T9" s="48"/>
    </row>
    <row r="10" spans="1:20" ht="24" customHeight="1" x14ac:dyDescent="0.25">
      <c r="A10" s="85" t="s">
        <v>47</v>
      </c>
      <c r="B10" s="85" t="s">
        <v>49</v>
      </c>
      <c r="C10" s="86">
        <v>2900</v>
      </c>
      <c r="D10" s="87">
        <v>45499</v>
      </c>
      <c r="E10" s="24">
        <v>4000</v>
      </c>
      <c r="F10" s="88">
        <v>6</v>
      </c>
      <c r="G10" s="44">
        <v>667</v>
      </c>
      <c r="H10" s="89">
        <v>45499</v>
      </c>
      <c r="I10" s="89">
        <v>45693</v>
      </c>
      <c r="J10" s="85"/>
      <c r="K10" s="90">
        <v>45631</v>
      </c>
      <c r="L10" s="90">
        <v>45296</v>
      </c>
      <c r="M10" s="91">
        <v>45327</v>
      </c>
      <c r="N10" s="90"/>
      <c r="O10" s="90"/>
      <c r="P10" s="90"/>
      <c r="Q10" s="85"/>
      <c r="R10" s="85"/>
      <c r="S10" s="85"/>
      <c r="T10" s="93"/>
    </row>
    <row r="11" spans="1:20" ht="24" customHeight="1" x14ac:dyDescent="0.25">
      <c r="A11" s="5" t="s">
        <v>48</v>
      </c>
      <c r="B11" s="77" t="s">
        <v>20</v>
      </c>
      <c r="C11" s="22">
        <v>3950</v>
      </c>
      <c r="D11" s="48"/>
      <c r="E11" s="24">
        <v>10000</v>
      </c>
      <c r="F11" s="6">
        <v>10</v>
      </c>
      <c r="G11" s="44">
        <v>1000</v>
      </c>
      <c r="H11" s="7">
        <v>45372</v>
      </c>
      <c r="I11" s="7">
        <v>45662</v>
      </c>
      <c r="J11" s="16"/>
      <c r="K11" s="57">
        <v>45631</v>
      </c>
      <c r="L11" s="56">
        <v>45296</v>
      </c>
      <c r="M11" s="57"/>
      <c r="N11" s="57"/>
      <c r="O11" s="57"/>
      <c r="P11" s="57"/>
      <c r="Q11" s="66"/>
      <c r="R11" s="66"/>
      <c r="S11" s="66"/>
      <c r="T11" s="48"/>
    </row>
    <row r="12" spans="1:20" ht="24" customHeight="1" x14ac:dyDescent="0.25">
      <c r="A12" s="10" t="s">
        <v>16</v>
      </c>
      <c r="B12" s="46" t="s">
        <v>2</v>
      </c>
      <c r="C12" s="19">
        <v>2298.0300000000002</v>
      </c>
      <c r="D12" s="14">
        <v>45422</v>
      </c>
      <c r="E12" s="24">
        <v>2000</v>
      </c>
      <c r="F12" s="6">
        <v>0</v>
      </c>
      <c r="G12" s="45">
        <v>0</v>
      </c>
      <c r="H12" s="7">
        <v>0</v>
      </c>
      <c r="I12" s="7">
        <v>0</v>
      </c>
      <c r="J12" s="64" t="s">
        <v>43</v>
      </c>
      <c r="K12" s="43"/>
      <c r="L12" s="43"/>
      <c r="M12" s="43"/>
      <c r="N12" s="105"/>
      <c r="O12" s="117">
        <v>45597</v>
      </c>
      <c r="P12" s="106"/>
      <c r="Q12" s="120"/>
      <c r="R12" s="120"/>
      <c r="S12" s="120"/>
      <c r="T12" s="123"/>
    </row>
    <row r="13" spans="1:20" ht="24" customHeight="1" x14ac:dyDescent="0.25">
      <c r="A13" s="5" t="s">
        <v>39</v>
      </c>
      <c r="B13" s="16" t="s">
        <v>5</v>
      </c>
      <c r="C13" s="22">
        <v>2800</v>
      </c>
      <c r="D13" s="41">
        <v>45548</v>
      </c>
      <c r="E13" s="24">
        <v>1500</v>
      </c>
      <c r="F13" s="6">
        <v>4</v>
      </c>
      <c r="G13" s="44">
        <v>375</v>
      </c>
      <c r="H13" s="7">
        <v>45570</v>
      </c>
      <c r="I13" s="7">
        <v>45662</v>
      </c>
      <c r="J13" s="16"/>
      <c r="K13" s="57">
        <v>45570</v>
      </c>
      <c r="L13" s="57">
        <v>45601</v>
      </c>
      <c r="M13" s="57">
        <v>45631</v>
      </c>
      <c r="N13" s="56">
        <v>45296</v>
      </c>
      <c r="O13" s="57"/>
      <c r="P13" s="57"/>
      <c r="Q13" s="66"/>
      <c r="R13" s="66"/>
      <c r="S13" s="66"/>
      <c r="T13" s="48"/>
    </row>
    <row r="14" spans="1:20" ht="24" customHeight="1" x14ac:dyDescent="0.25">
      <c r="A14" s="4" t="s">
        <v>4</v>
      </c>
      <c r="B14" s="16" t="s">
        <v>5</v>
      </c>
      <c r="C14" s="21">
        <v>2800</v>
      </c>
      <c r="D14" s="50">
        <v>45360</v>
      </c>
      <c r="E14" s="24">
        <v>1000</v>
      </c>
      <c r="F14" s="6">
        <v>4</v>
      </c>
      <c r="G14" s="27">
        <v>250</v>
      </c>
      <c r="H14" s="7">
        <v>45387</v>
      </c>
      <c r="I14" s="7">
        <v>45478</v>
      </c>
      <c r="J14" s="49" t="s">
        <v>31</v>
      </c>
      <c r="K14" s="43">
        <v>45387</v>
      </c>
      <c r="L14" s="43">
        <v>45417</v>
      </c>
      <c r="M14" s="43">
        <v>45448</v>
      </c>
      <c r="N14" s="56">
        <v>45478</v>
      </c>
      <c r="O14" s="43"/>
      <c r="P14" s="43"/>
      <c r="Q14" s="48"/>
      <c r="R14" s="48"/>
      <c r="S14" s="48"/>
      <c r="T14" s="48"/>
    </row>
    <row r="15" spans="1:20" ht="24" customHeight="1" x14ac:dyDescent="0.25">
      <c r="A15" s="5" t="s">
        <v>33</v>
      </c>
      <c r="B15" s="16" t="s">
        <v>8</v>
      </c>
      <c r="C15" s="22">
        <v>2400</v>
      </c>
      <c r="D15" s="41">
        <v>45513</v>
      </c>
      <c r="E15" s="24">
        <v>1500</v>
      </c>
      <c r="F15" s="6">
        <v>3</v>
      </c>
      <c r="G15" s="44">
        <v>500</v>
      </c>
      <c r="H15" s="7">
        <v>45540</v>
      </c>
      <c r="I15" s="7">
        <v>45601</v>
      </c>
      <c r="J15" s="16"/>
      <c r="K15" s="57">
        <v>45540</v>
      </c>
      <c r="L15" s="57">
        <v>45570</v>
      </c>
      <c r="M15" s="63">
        <v>45601</v>
      </c>
      <c r="N15" s="105"/>
      <c r="O15" s="106"/>
      <c r="P15" s="106"/>
      <c r="Q15" s="120"/>
      <c r="R15" s="120"/>
      <c r="S15" s="120"/>
      <c r="T15" s="123"/>
    </row>
    <row r="16" spans="1:20" ht="24" customHeight="1" x14ac:dyDescent="0.25">
      <c r="A16" s="1" t="s">
        <v>1</v>
      </c>
      <c r="B16" s="46" t="s">
        <v>2</v>
      </c>
      <c r="C16" s="20">
        <v>2665.02</v>
      </c>
      <c r="D16" s="51">
        <v>45406</v>
      </c>
      <c r="E16" s="25">
        <v>4000</v>
      </c>
      <c r="F16" s="2">
        <v>4</v>
      </c>
      <c r="G16" s="26">
        <v>1000</v>
      </c>
      <c r="H16" s="3">
        <v>45417</v>
      </c>
      <c r="I16" s="3">
        <v>45509</v>
      </c>
      <c r="J16" s="49" t="s">
        <v>31</v>
      </c>
      <c r="K16" s="43">
        <v>45387</v>
      </c>
      <c r="L16" s="43">
        <v>45417</v>
      </c>
      <c r="M16" s="43">
        <v>45448</v>
      </c>
      <c r="N16" s="56">
        <v>45478</v>
      </c>
      <c r="O16" s="43"/>
      <c r="P16" s="43"/>
      <c r="Q16" s="48"/>
      <c r="R16" s="48"/>
      <c r="S16" s="48"/>
      <c r="T16" s="48"/>
    </row>
    <row r="17" spans="1:20" ht="24" customHeight="1" x14ac:dyDescent="0.25">
      <c r="A17" s="1" t="s">
        <v>1</v>
      </c>
      <c r="B17" s="46" t="s">
        <v>2</v>
      </c>
      <c r="C17" s="20">
        <v>2665.02</v>
      </c>
      <c r="D17" s="51">
        <v>45406</v>
      </c>
      <c r="E17" s="25">
        <v>4000</v>
      </c>
      <c r="F17" s="2">
        <v>4</v>
      </c>
      <c r="G17" s="26">
        <v>1000</v>
      </c>
      <c r="H17" s="3">
        <v>45417</v>
      </c>
      <c r="I17" s="3">
        <v>45509</v>
      </c>
      <c r="J17" s="49" t="s">
        <v>31</v>
      </c>
      <c r="K17" s="43">
        <v>45417</v>
      </c>
      <c r="L17" s="43">
        <v>45448</v>
      </c>
      <c r="M17" s="43">
        <v>45478</v>
      </c>
      <c r="N17" s="56">
        <v>45509</v>
      </c>
      <c r="O17" s="43"/>
      <c r="P17" s="43"/>
      <c r="Q17" s="48"/>
      <c r="R17" s="48"/>
      <c r="S17" s="48"/>
      <c r="T17" s="48"/>
    </row>
    <row r="18" spans="1:20" ht="24" customHeight="1" x14ac:dyDescent="0.25">
      <c r="A18" s="85" t="s">
        <v>29</v>
      </c>
      <c r="B18" s="102" t="s">
        <v>20</v>
      </c>
      <c r="C18" s="86">
        <v>2900</v>
      </c>
      <c r="D18" s="101">
        <v>45500</v>
      </c>
      <c r="E18" s="24">
        <v>10000</v>
      </c>
      <c r="F18" s="88">
        <v>10</v>
      </c>
      <c r="G18" s="44">
        <f>E18/F18</f>
        <v>1000</v>
      </c>
      <c r="H18" s="89">
        <v>45540</v>
      </c>
      <c r="I18" s="89">
        <v>45813</v>
      </c>
      <c r="J18" s="85"/>
      <c r="K18" s="90">
        <v>45540</v>
      </c>
      <c r="L18" s="90">
        <v>45570</v>
      </c>
      <c r="M18" s="90">
        <v>45601</v>
      </c>
      <c r="N18" s="90">
        <v>45631</v>
      </c>
      <c r="O18" s="90">
        <v>45296</v>
      </c>
      <c r="P18" s="90">
        <v>45327</v>
      </c>
      <c r="Q18" s="90">
        <v>45356</v>
      </c>
      <c r="R18" s="90">
        <v>45387</v>
      </c>
      <c r="S18" s="90">
        <v>45417</v>
      </c>
      <c r="T18" s="99">
        <v>45813</v>
      </c>
    </row>
    <row r="19" spans="1:20" ht="24" customHeight="1" x14ac:dyDescent="0.25">
      <c r="A19" s="1" t="s">
        <v>7</v>
      </c>
      <c r="B19" s="46" t="s">
        <v>8</v>
      </c>
      <c r="C19" s="22">
        <v>4000</v>
      </c>
      <c r="D19" s="15">
        <v>45436</v>
      </c>
      <c r="E19" s="24">
        <v>2700</v>
      </c>
      <c r="F19" s="8">
        <v>3</v>
      </c>
      <c r="G19" s="28">
        <v>900</v>
      </c>
      <c r="H19" s="9">
        <v>45448</v>
      </c>
      <c r="I19" s="9">
        <v>45509</v>
      </c>
      <c r="J19" s="49" t="s">
        <v>31</v>
      </c>
      <c r="K19" s="43">
        <v>45448</v>
      </c>
      <c r="L19" s="43">
        <v>45478</v>
      </c>
      <c r="M19" s="56">
        <v>45509</v>
      </c>
      <c r="N19" s="43"/>
      <c r="O19" s="105"/>
      <c r="P19" s="106"/>
      <c r="Q19" s="120"/>
      <c r="R19" s="120"/>
      <c r="S19" s="120"/>
      <c r="T19" s="123"/>
    </row>
    <row r="20" spans="1:20" ht="24" customHeight="1" x14ac:dyDescent="0.25">
      <c r="A20" s="85" t="s">
        <v>44</v>
      </c>
      <c r="B20" s="85" t="s">
        <v>8</v>
      </c>
      <c r="C20" s="86">
        <v>2700</v>
      </c>
      <c r="D20" s="87">
        <v>45602</v>
      </c>
      <c r="E20" s="24">
        <v>1700</v>
      </c>
      <c r="F20" s="88">
        <v>5</v>
      </c>
      <c r="G20" s="44">
        <v>340</v>
      </c>
      <c r="H20" s="89">
        <v>45631</v>
      </c>
      <c r="I20" s="89">
        <v>45387</v>
      </c>
      <c r="J20" s="85" t="s">
        <v>45</v>
      </c>
      <c r="K20" s="113">
        <v>45631</v>
      </c>
      <c r="L20" s="113">
        <v>45296</v>
      </c>
      <c r="M20" s="114">
        <v>45327</v>
      </c>
      <c r="N20" s="113">
        <v>45356</v>
      </c>
      <c r="O20" s="113">
        <v>45387</v>
      </c>
      <c r="P20" s="118" t="s">
        <v>50</v>
      </c>
      <c r="Q20" s="121"/>
      <c r="R20" s="121"/>
      <c r="S20" s="121"/>
      <c r="T20" s="121"/>
    </row>
    <row r="21" spans="1:20" ht="24" customHeight="1" x14ac:dyDescent="0.25">
      <c r="A21" s="1" t="s">
        <v>3</v>
      </c>
      <c r="B21" s="46" t="s">
        <v>2</v>
      </c>
      <c r="C21" s="20">
        <v>3060.87</v>
      </c>
      <c r="D21" s="13">
        <v>45422</v>
      </c>
      <c r="E21" s="25">
        <v>1000</v>
      </c>
      <c r="F21" s="2">
        <v>2</v>
      </c>
      <c r="G21" s="26">
        <v>500</v>
      </c>
      <c r="H21" s="3">
        <v>45448</v>
      </c>
      <c r="I21" s="3">
        <v>45478</v>
      </c>
      <c r="J21" s="49" t="s">
        <v>31</v>
      </c>
      <c r="K21" s="43">
        <v>45448</v>
      </c>
      <c r="L21" s="56">
        <v>45478</v>
      </c>
      <c r="M21" s="43"/>
      <c r="N21" s="43"/>
      <c r="O21" s="43"/>
      <c r="P21" s="43"/>
      <c r="Q21" s="48"/>
      <c r="R21" s="48"/>
      <c r="S21" s="48"/>
      <c r="T21" s="48"/>
    </row>
    <row r="22" spans="1:20" ht="24" customHeight="1" x14ac:dyDescent="0.25">
      <c r="A22" s="5" t="s">
        <v>34</v>
      </c>
      <c r="B22" s="46" t="s">
        <v>26</v>
      </c>
      <c r="C22" s="22">
        <v>2900</v>
      </c>
      <c r="D22" s="41">
        <v>45514</v>
      </c>
      <c r="E22" s="24">
        <v>1500</v>
      </c>
      <c r="F22" s="6">
        <v>3</v>
      </c>
      <c r="G22" s="44">
        <v>500</v>
      </c>
      <c r="H22" s="7">
        <v>45540</v>
      </c>
      <c r="I22" s="7">
        <v>45601</v>
      </c>
      <c r="J22" s="16"/>
      <c r="K22" s="57">
        <v>45540</v>
      </c>
      <c r="L22" s="57">
        <v>45570</v>
      </c>
      <c r="M22" s="63">
        <v>45601</v>
      </c>
      <c r="N22" s="43"/>
      <c r="O22" s="43"/>
      <c r="P22" s="43"/>
      <c r="Q22" s="48"/>
      <c r="R22" s="48"/>
      <c r="S22" s="48"/>
      <c r="T22" s="48"/>
    </row>
    <row r="23" spans="1:20" ht="24" customHeight="1" x14ac:dyDescent="0.25">
      <c r="A23" s="5" t="s">
        <v>25</v>
      </c>
      <c r="B23" s="46" t="s">
        <v>26</v>
      </c>
      <c r="C23" s="22">
        <v>2600</v>
      </c>
      <c r="D23" s="41">
        <v>45451</v>
      </c>
      <c r="E23" s="24">
        <v>1000</v>
      </c>
      <c r="F23" s="8">
        <v>2</v>
      </c>
      <c r="G23" s="28">
        <v>500</v>
      </c>
      <c r="H23" s="9">
        <v>45478</v>
      </c>
      <c r="I23" s="9">
        <v>45509</v>
      </c>
      <c r="J23" s="49" t="s">
        <v>31</v>
      </c>
      <c r="K23" s="43">
        <v>45478</v>
      </c>
      <c r="L23" s="56">
        <v>45509</v>
      </c>
      <c r="M23" s="43"/>
      <c r="N23" s="43"/>
      <c r="O23" s="105"/>
      <c r="P23" s="106"/>
      <c r="Q23" s="120"/>
      <c r="R23" s="120"/>
      <c r="S23" s="120"/>
      <c r="T23" s="123"/>
    </row>
    <row r="24" spans="1:20" ht="24" customHeight="1" x14ac:dyDescent="0.25">
      <c r="A24" s="5" t="s">
        <v>25</v>
      </c>
      <c r="B24" s="46" t="s">
        <v>26</v>
      </c>
      <c r="C24" s="22">
        <v>2800</v>
      </c>
      <c r="D24" s="41">
        <v>45514</v>
      </c>
      <c r="E24" s="24">
        <v>1500</v>
      </c>
      <c r="F24" s="6">
        <v>3</v>
      </c>
      <c r="G24" s="44">
        <v>500</v>
      </c>
      <c r="H24" s="7">
        <v>45540</v>
      </c>
      <c r="I24" s="7">
        <v>45601</v>
      </c>
      <c r="J24" s="16"/>
      <c r="K24" s="57">
        <v>45540</v>
      </c>
      <c r="L24" s="57">
        <v>45570</v>
      </c>
      <c r="M24" s="56">
        <v>45601</v>
      </c>
      <c r="N24" s="115" t="s">
        <v>41</v>
      </c>
      <c r="O24" s="115"/>
      <c r="P24" s="115"/>
      <c r="Q24" s="115"/>
      <c r="R24" s="115"/>
      <c r="S24" s="115"/>
      <c r="T24" s="115"/>
    </row>
    <row r="25" spans="1:20" ht="24" customHeight="1" x14ac:dyDescent="0.25">
      <c r="A25" s="4" t="s">
        <v>6</v>
      </c>
      <c r="B25" s="16" t="s">
        <v>5</v>
      </c>
      <c r="C25" s="21">
        <v>3700</v>
      </c>
      <c r="D25" s="14">
        <v>45436</v>
      </c>
      <c r="E25" s="24">
        <v>800</v>
      </c>
      <c r="F25" s="6">
        <v>2</v>
      </c>
      <c r="G25" s="27">
        <v>400</v>
      </c>
      <c r="H25" s="7">
        <v>45448</v>
      </c>
      <c r="I25" s="7">
        <v>45478</v>
      </c>
      <c r="J25" s="49" t="s">
        <v>31</v>
      </c>
      <c r="K25" s="43">
        <v>45448</v>
      </c>
      <c r="L25" s="56">
        <v>45478</v>
      </c>
      <c r="M25" s="43"/>
      <c r="N25" s="43"/>
      <c r="O25" s="43"/>
      <c r="P25" s="43"/>
      <c r="Q25" s="48"/>
      <c r="R25" s="48"/>
      <c r="S25" s="48"/>
      <c r="T25" s="48"/>
    </row>
    <row r="26" spans="1:20" ht="24" customHeight="1" x14ac:dyDescent="0.25">
      <c r="A26" s="4" t="s">
        <v>6</v>
      </c>
      <c r="B26" s="16" t="s">
        <v>5</v>
      </c>
      <c r="C26" s="110">
        <v>3700</v>
      </c>
      <c r="D26" s="111">
        <v>45472</v>
      </c>
      <c r="E26" s="103">
        <v>1000</v>
      </c>
      <c r="F26" s="104">
        <v>2</v>
      </c>
      <c r="G26" s="112">
        <v>500</v>
      </c>
      <c r="H26" s="7">
        <v>45509</v>
      </c>
      <c r="I26" s="7">
        <v>45540</v>
      </c>
      <c r="J26" s="49" t="s">
        <v>31</v>
      </c>
      <c r="K26" s="57">
        <v>45509</v>
      </c>
      <c r="L26" s="56">
        <v>45540</v>
      </c>
      <c r="M26" s="57"/>
      <c r="N26" s="43"/>
      <c r="O26" s="43"/>
      <c r="P26" s="43"/>
      <c r="Q26" s="48"/>
      <c r="R26" s="48"/>
      <c r="S26" s="48"/>
      <c r="T26" s="48"/>
    </row>
    <row r="27" spans="1:20" ht="24" customHeight="1" x14ac:dyDescent="0.25">
      <c r="A27" s="4" t="s">
        <v>6</v>
      </c>
      <c r="B27" s="16" t="s">
        <v>5</v>
      </c>
      <c r="C27" s="21">
        <v>3700</v>
      </c>
      <c r="D27" s="41">
        <v>45542</v>
      </c>
      <c r="E27" s="24">
        <v>2000</v>
      </c>
      <c r="F27" s="6">
        <v>4</v>
      </c>
      <c r="G27" s="44">
        <v>500</v>
      </c>
      <c r="H27" s="7">
        <v>45570</v>
      </c>
      <c r="I27" s="7">
        <v>45662</v>
      </c>
      <c r="J27" s="16"/>
      <c r="K27" s="57">
        <v>45570</v>
      </c>
      <c r="L27" s="57">
        <v>45601</v>
      </c>
      <c r="M27" s="57">
        <v>45631</v>
      </c>
      <c r="N27" s="56">
        <v>45296</v>
      </c>
      <c r="O27" s="57"/>
      <c r="P27" s="57"/>
      <c r="Q27" s="66"/>
      <c r="R27" s="66"/>
      <c r="S27" s="66"/>
      <c r="T27" s="48"/>
    </row>
    <row r="28" spans="1:20" ht="24" customHeight="1" x14ac:dyDescent="0.25">
      <c r="A28" s="5" t="s">
        <v>35</v>
      </c>
      <c r="B28" s="16" t="s">
        <v>36</v>
      </c>
      <c r="C28" s="22">
        <v>3300</v>
      </c>
      <c r="D28" s="41">
        <v>45517</v>
      </c>
      <c r="E28" s="24">
        <v>4000</v>
      </c>
      <c r="F28" s="6">
        <v>4</v>
      </c>
      <c r="G28" s="44">
        <v>1000</v>
      </c>
      <c r="H28" s="7">
        <v>45540</v>
      </c>
      <c r="I28" s="7">
        <v>45631</v>
      </c>
      <c r="J28" s="16"/>
      <c r="K28" s="57">
        <v>45540</v>
      </c>
      <c r="L28" s="57">
        <v>45570</v>
      </c>
      <c r="M28" s="57">
        <v>45601</v>
      </c>
      <c r="N28" s="65">
        <v>45631</v>
      </c>
      <c r="O28" s="115" t="s">
        <v>46</v>
      </c>
      <c r="P28" s="115"/>
      <c r="Q28" s="115"/>
      <c r="R28" s="115"/>
      <c r="S28" s="115"/>
      <c r="T28" s="115"/>
    </row>
    <row r="29" spans="1:20" ht="24" customHeight="1" x14ac:dyDescent="0.25">
      <c r="A29" s="62" t="s">
        <v>38</v>
      </c>
      <c r="B29" s="58" t="s">
        <v>26</v>
      </c>
      <c r="C29" s="21">
        <v>3000</v>
      </c>
      <c r="D29" s="59">
        <v>45543</v>
      </c>
      <c r="E29" s="60">
        <v>2000</v>
      </c>
      <c r="F29" s="6">
        <v>4</v>
      </c>
      <c r="G29" s="61">
        <v>500</v>
      </c>
      <c r="H29" s="7">
        <v>45570</v>
      </c>
      <c r="I29" s="7">
        <v>45662</v>
      </c>
      <c r="J29" s="48"/>
      <c r="K29" s="57">
        <v>45570</v>
      </c>
      <c r="L29" s="57">
        <v>45601</v>
      </c>
      <c r="M29" s="57">
        <v>45631</v>
      </c>
      <c r="N29" s="56">
        <v>45296</v>
      </c>
      <c r="O29" s="66"/>
      <c r="P29" s="66"/>
      <c r="Q29" s="66"/>
      <c r="R29" s="66"/>
      <c r="S29" s="66"/>
      <c r="T29" s="48"/>
    </row>
    <row r="30" spans="1:20" ht="24" customHeight="1" x14ac:dyDescent="0.25">
      <c r="A30" s="5" t="s">
        <v>40</v>
      </c>
      <c r="B30" s="16" t="s">
        <v>8</v>
      </c>
      <c r="C30" s="22">
        <v>3600</v>
      </c>
      <c r="D30" s="41">
        <v>45551</v>
      </c>
      <c r="E30" s="24">
        <v>1200</v>
      </c>
      <c r="F30" s="6">
        <v>3</v>
      </c>
      <c r="G30" s="44">
        <v>400</v>
      </c>
      <c r="H30" s="7">
        <v>45570</v>
      </c>
      <c r="I30" s="7">
        <v>45631</v>
      </c>
      <c r="J30" s="16"/>
      <c r="K30" s="57">
        <v>45570</v>
      </c>
      <c r="L30" s="57">
        <v>45601</v>
      </c>
      <c r="M30" s="65">
        <v>45631</v>
      </c>
      <c r="N30" s="57"/>
      <c r="O30" s="57"/>
      <c r="P30" s="57"/>
      <c r="Q30" s="66"/>
      <c r="R30" s="66"/>
      <c r="S30" s="66"/>
      <c r="T30" s="48"/>
    </row>
    <row r="31" spans="1:20" s="92" customFormat="1" ht="30" customHeight="1" x14ac:dyDescent="0.25">
      <c r="A31" s="93" t="s">
        <v>40</v>
      </c>
      <c r="B31" s="93" t="s">
        <v>8</v>
      </c>
      <c r="C31" s="94">
        <v>3800</v>
      </c>
      <c r="D31" s="95">
        <v>45419</v>
      </c>
      <c r="E31" s="96">
        <v>2500</v>
      </c>
      <c r="F31" s="97">
        <v>5</v>
      </c>
      <c r="G31" s="44">
        <f>E31/F31</f>
        <v>500</v>
      </c>
      <c r="H31" s="98">
        <v>45721</v>
      </c>
      <c r="I31" s="98">
        <f>H31+122</f>
        <v>45843</v>
      </c>
      <c r="J31" s="93"/>
      <c r="K31" s="90">
        <v>45356</v>
      </c>
      <c r="L31" s="90">
        <v>45387</v>
      </c>
      <c r="M31" s="90">
        <v>45417</v>
      </c>
      <c r="N31" s="73">
        <v>45813</v>
      </c>
      <c r="O31" s="73">
        <v>45843</v>
      </c>
      <c r="P31" s="119"/>
      <c r="Q31" s="122"/>
      <c r="R31" s="122"/>
      <c r="S31" s="122"/>
      <c r="T31" s="124"/>
    </row>
    <row r="32" spans="1:20" s="92" customFormat="1" ht="30" customHeight="1" x14ac:dyDescent="0.25">
      <c r="A32" s="93" t="s">
        <v>53</v>
      </c>
      <c r="B32" s="93" t="s">
        <v>5</v>
      </c>
      <c r="C32" s="94">
        <v>2800</v>
      </c>
      <c r="D32" s="95">
        <v>45710</v>
      </c>
      <c r="E32" s="96">
        <v>1200</v>
      </c>
      <c r="F32" s="97">
        <v>4</v>
      </c>
      <c r="G32" s="44">
        <f>E32/F32</f>
        <v>300</v>
      </c>
      <c r="H32" s="98">
        <v>45721</v>
      </c>
      <c r="I32" s="98">
        <f>H32+92</f>
        <v>45813</v>
      </c>
      <c r="J32" s="93"/>
      <c r="K32" s="90">
        <v>45356</v>
      </c>
      <c r="L32" s="90">
        <v>45387</v>
      </c>
      <c r="M32" s="90">
        <v>45417</v>
      </c>
      <c r="N32" s="99">
        <v>45813</v>
      </c>
      <c r="O32" s="85"/>
      <c r="P32" s="85"/>
      <c r="Q32" s="85"/>
      <c r="R32" s="85"/>
      <c r="S32" s="85"/>
      <c r="T32" s="93"/>
    </row>
    <row r="33" spans="1:20" s="100" customFormat="1" ht="30" customHeight="1" x14ac:dyDescent="0.25">
      <c r="A33" s="11" t="s">
        <v>19</v>
      </c>
      <c r="B33" s="47" t="s">
        <v>20</v>
      </c>
      <c r="C33" s="20">
        <v>2900</v>
      </c>
      <c r="D33" s="14">
        <v>45439</v>
      </c>
      <c r="E33" s="24">
        <v>4000</v>
      </c>
      <c r="F33" s="6">
        <v>4</v>
      </c>
      <c r="G33" s="26">
        <v>1000</v>
      </c>
      <c r="H33" s="7">
        <v>45478</v>
      </c>
      <c r="I33" s="7">
        <v>45570</v>
      </c>
      <c r="J33" s="16"/>
      <c r="K33" s="57">
        <v>45478</v>
      </c>
      <c r="L33" s="57">
        <v>45509</v>
      </c>
      <c r="M33" s="57">
        <v>45540</v>
      </c>
      <c r="N33" s="56">
        <v>45570</v>
      </c>
      <c r="O33" s="43"/>
      <c r="P33" s="43"/>
      <c r="Q33" s="43"/>
      <c r="R33" s="43"/>
      <c r="S33" s="43"/>
      <c r="T33" s="43"/>
    </row>
    <row r="34" spans="1:20" s="92" customFormat="1" ht="30" customHeight="1" x14ac:dyDescent="0.25">
      <c r="A34" s="5" t="s">
        <v>30</v>
      </c>
      <c r="B34" s="16" t="s">
        <v>5</v>
      </c>
      <c r="C34" s="22">
        <v>1800</v>
      </c>
      <c r="D34" s="41">
        <v>45496</v>
      </c>
      <c r="E34" s="24">
        <v>1000</v>
      </c>
      <c r="F34" s="6">
        <v>4</v>
      </c>
      <c r="G34" s="44">
        <v>250</v>
      </c>
      <c r="H34" s="7">
        <v>45540</v>
      </c>
      <c r="I34" s="7">
        <v>45631</v>
      </c>
      <c r="J34" s="16"/>
      <c r="K34" s="57">
        <v>45540</v>
      </c>
      <c r="L34" s="57">
        <v>45570</v>
      </c>
      <c r="M34" s="56">
        <v>45601</v>
      </c>
      <c r="N34" s="43">
        <v>45631</v>
      </c>
      <c r="O34" s="116" t="s">
        <v>42</v>
      </c>
      <c r="P34" s="116"/>
      <c r="Q34" s="116"/>
      <c r="R34" s="116"/>
      <c r="S34" s="116"/>
      <c r="T34" s="116"/>
    </row>
    <row r="35" spans="1:20" s="92" customFormat="1" ht="30" customHeight="1" x14ac:dyDescent="0.25">
      <c r="A35" s="5" t="s">
        <v>32</v>
      </c>
      <c r="B35" s="16" t="s">
        <v>5</v>
      </c>
      <c r="C35" s="22">
        <v>2800</v>
      </c>
      <c r="D35" s="41">
        <v>45500</v>
      </c>
      <c r="E35" s="24">
        <v>3000</v>
      </c>
      <c r="F35" s="6">
        <v>5</v>
      </c>
      <c r="G35" s="54">
        <v>600</v>
      </c>
      <c r="H35" s="7">
        <v>45540</v>
      </c>
      <c r="I35" s="7">
        <v>45662</v>
      </c>
      <c r="J35" s="16"/>
      <c r="K35" s="57">
        <v>45540</v>
      </c>
      <c r="L35" s="57">
        <v>45570</v>
      </c>
      <c r="M35" s="57">
        <v>45601</v>
      </c>
      <c r="N35" s="57">
        <v>45631</v>
      </c>
      <c r="O35" s="56">
        <v>45296</v>
      </c>
      <c r="P35" s="57"/>
      <c r="Q35" s="66"/>
      <c r="R35" s="66"/>
      <c r="S35" s="66"/>
      <c r="T35" s="48"/>
    </row>
    <row r="36" spans="1:20" s="92" customFormat="1" ht="30" customHeight="1" x14ac:dyDescent="0.25">
      <c r="A36" s="85" t="s">
        <v>32</v>
      </c>
      <c r="B36" s="85" t="s">
        <v>5</v>
      </c>
      <c r="C36" s="86">
        <v>3000</v>
      </c>
      <c r="D36" s="101">
        <v>45710</v>
      </c>
      <c r="E36" s="24">
        <v>3000</v>
      </c>
      <c r="F36" s="88">
        <v>4</v>
      </c>
      <c r="G36" s="44">
        <f>E36/F36</f>
        <v>750</v>
      </c>
      <c r="H36" s="98">
        <v>45721</v>
      </c>
      <c r="I36" s="98">
        <f>H36+92</f>
        <v>45813</v>
      </c>
      <c r="J36" s="93"/>
      <c r="K36" s="90">
        <v>45356</v>
      </c>
      <c r="L36" s="90">
        <v>45387</v>
      </c>
      <c r="M36" s="90">
        <v>45417</v>
      </c>
      <c r="N36" s="99">
        <v>45813</v>
      </c>
      <c r="O36" s="90"/>
      <c r="P36" s="85"/>
      <c r="Q36" s="85"/>
      <c r="R36" s="85"/>
      <c r="S36" s="85"/>
      <c r="T36" s="93"/>
    </row>
    <row r="37" spans="1:20" s="74" customFormat="1" ht="30" customHeight="1" x14ac:dyDescent="0.25">
      <c r="A37" s="72" t="s">
        <v>1</v>
      </c>
      <c r="B37" s="72" t="s">
        <v>2</v>
      </c>
      <c r="C37" s="75">
        <v>2762</v>
      </c>
      <c r="D37" s="68">
        <v>45727</v>
      </c>
      <c r="E37" s="76">
        <v>3000</v>
      </c>
      <c r="F37" s="12">
        <v>6</v>
      </c>
      <c r="G37" s="54">
        <f>E37/F37</f>
        <v>500</v>
      </c>
      <c r="H37" s="71">
        <v>45752</v>
      </c>
      <c r="I37" s="71">
        <v>45905</v>
      </c>
      <c r="J37" s="72"/>
      <c r="K37" s="73">
        <v>45387</v>
      </c>
      <c r="L37" s="73">
        <v>45417</v>
      </c>
      <c r="M37" s="73">
        <v>45813</v>
      </c>
      <c r="N37" s="73">
        <v>45843</v>
      </c>
      <c r="O37" s="73">
        <v>45874</v>
      </c>
      <c r="P37" s="125">
        <v>45905</v>
      </c>
      <c r="Q37" s="5"/>
      <c r="R37" s="5"/>
      <c r="S37" s="5"/>
      <c r="T37" s="5"/>
    </row>
    <row r="38" spans="1:20" s="74" customFormat="1" ht="30" customHeight="1" x14ac:dyDescent="0.25">
      <c r="A38" s="82" t="s">
        <v>55</v>
      </c>
      <c r="B38" s="83" t="s">
        <v>2</v>
      </c>
      <c r="C38" s="75">
        <v>3416</v>
      </c>
      <c r="D38" s="68">
        <v>45789</v>
      </c>
      <c r="E38" s="76">
        <v>2000</v>
      </c>
      <c r="F38" s="12">
        <v>4</v>
      </c>
      <c r="G38" s="54">
        <f>E38/F38</f>
        <v>500</v>
      </c>
      <c r="H38" s="71">
        <v>45813</v>
      </c>
      <c r="I38" s="71">
        <f>H38+92</f>
        <v>45905</v>
      </c>
      <c r="J38" s="72"/>
      <c r="K38" s="73">
        <v>45813</v>
      </c>
      <c r="L38" s="73">
        <v>45843</v>
      </c>
      <c r="M38" s="73">
        <v>45874</v>
      </c>
      <c r="N38" s="125">
        <v>45905</v>
      </c>
      <c r="O38" s="73"/>
      <c r="P38" s="5"/>
      <c r="Q38" s="5"/>
      <c r="R38" s="5"/>
      <c r="S38" s="5"/>
      <c r="T38" s="5"/>
    </row>
    <row r="39" spans="1:20" s="74" customFormat="1" ht="30" customHeight="1" x14ac:dyDescent="0.25">
      <c r="A39" s="107" t="s">
        <v>58</v>
      </c>
      <c r="B39" s="83" t="s">
        <v>5</v>
      </c>
      <c r="C39" s="75">
        <v>2700</v>
      </c>
      <c r="D39" s="68">
        <v>45851</v>
      </c>
      <c r="E39" s="76">
        <v>1500</v>
      </c>
      <c r="F39" s="12">
        <v>2</v>
      </c>
      <c r="G39" s="54">
        <v>750</v>
      </c>
      <c r="H39" s="71">
        <v>45874</v>
      </c>
      <c r="I39" s="71">
        <v>45905</v>
      </c>
      <c r="J39" s="72"/>
      <c r="K39" s="73">
        <v>45874</v>
      </c>
      <c r="L39" s="125">
        <v>45905</v>
      </c>
      <c r="M39" s="73"/>
      <c r="N39" s="73"/>
      <c r="O39" s="73"/>
      <c r="P39" s="5"/>
      <c r="Q39" s="5"/>
      <c r="R39" s="5"/>
      <c r="S39" s="5"/>
      <c r="T39" s="5"/>
    </row>
    <row r="40" spans="1:20" s="74" customFormat="1" ht="30" customHeight="1" x14ac:dyDescent="0.25">
      <c r="A40" s="10" t="s">
        <v>54</v>
      </c>
      <c r="B40" s="72" t="s">
        <v>2</v>
      </c>
      <c r="C40" s="75">
        <v>3591</v>
      </c>
      <c r="D40" s="68">
        <v>45769</v>
      </c>
      <c r="E40" s="76">
        <v>5000</v>
      </c>
      <c r="F40" s="12">
        <v>5</v>
      </c>
      <c r="G40" s="54">
        <f>E40/F40</f>
        <v>1000</v>
      </c>
      <c r="H40" s="71">
        <v>45782</v>
      </c>
      <c r="I40" s="71">
        <v>45905</v>
      </c>
      <c r="J40" s="72"/>
      <c r="K40" s="73">
        <v>45417</v>
      </c>
      <c r="L40" s="73">
        <v>45813</v>
      </c>
      <c r="M40" s="73">
        <v>45843</v>
      </c>
      <c r="N40" s="73">
        <v>45874</v>
      </c>
      <c r="O40" s="125">
        <v>45905</v>
      </c>
      <c r="P40" s="5"/>
      <c r="Q40" s="5"/>
      <c r="R40" s="5"/>
      <c r="S40" s="5"/>
      <c r="T40" s="5"/>
    </row>
    <row r="41" spans="1:20" s="74" customFormat="1" ht="30" customHeight="1" x14ac:dyDescent="0.25">
      <c r="A41" s="107" t="s">
        <v>58</v>
      </c>
      <c r="B41" s="83" t="s">
        <v>5</v>
      </c>
      <c r="C41" s="75">
        <v>2700</v>
      </c>
      <c r="D41" s="68">
        <v>45851</v>
      </c>
      <c r="E41" s="76">
        <v>1500</v>
      </c>
      <c r="F41" s="12">
        <v>2</v>
      </c>
      <c r="G41" s="54">
        <v>750</v>
      </c>
      <c r="H41" s="71">
        <v>45874</v>
      </c>
      <c r="I41" s="71">
        <v>45905</v>
      </c>
      <c r="J41" s="72"/>
      <c r="K41" s="73">
        <v>45874</v>
      </c>
      <c r="L41" s="125">
        <v>45905</v>
      </c>
      <c r="M41" s="73"/>
      <c r="N41" s="73"/>
      <c r="O41" s="73"/>
      <c r="P41" s="5"/>
      <c r="Q41" s="5"/>
      <c r="R41" s="5"/>
      <c r="S41" s="5"/>
      <c r="T41" s="5"/>
    </row>
    <row r="42" spans="1:20" s="74" customFormat="1" ht="24" customHeight="1" x14ac:dyDescent="0.25">
      <c r="A42" s="72" t="s">
        <v>1</v>
      </c>
      <c r="B42" s="5" t="s">
        <v>2</v>
      </c>
      <c r="C42" s="75">
        <v>2762</v>
      </c>
      <c r="D42" s="68">
        <v>45727</v>
      </c>
      <c r="E42" s="76">
        <v>3000</v>
      </c>
      <c r="F42" s="12">
        <v>6</v>
      </c>
      <c r="G42" s="54">
        <f>E42/F42</f>
        <v>500</v>
      </c>
      <c r="H42" s="71">
        <v>45752</v>
      </c>
      <c r="I42" s="71">
        <v>45905</v>
      </c>
      <c r="J42" s="72"/>
      <c r="K42" s="73">
        <v>45387</v>
      </c>
      <c r="L42" s="73">
        <v>45417</v>
      </c>
      <c r="M42" s="73">
        <v>45813</v>
      </c>
      <c r="N42" s="73">
        <v>45843</v>
      </c>
      <c r="O42" s="73">
        <v>45874</v>
      </c>
      <c r="P42" s="125">
        <v>45905</v>
      </c>
      <c r="Q42" s="5"/>
      <c r="R42" s="5"/>
      <c r="S42" s="5"/>
      <c r="T42" s="5"/>
    </row>
    <row r="43" spans="1:20" s="74" customFormat="1" ht="24" customHeight="1" x14ac:dyDescent="0.25">
      <c r="A43" s="82" t="s">
        <v>55</v>
      </c>
      <c r="B43" s="83" t="s">
        <v>2</v>
      </c>
      <c r="C43" s="75">
        <v>3416</v>
      </c>
      <c r="D43" s="68">
        <v>45789</v>
      </c>
      <c r="E43" s="76">
        <v>2000</v>
      </c>
      <c r="F43" s="12">
        <v>4</v>
      </c>
      <c r="G43" s="54">
        <f>E43/F43</f>
        <v>500</v>
      </c>
      <c r="H43" s="71">
        <v>45813</v>
      </c>
      <c r="I43" s="71">
        <f>H43+92</f>
        <v>45905</v>
      </c>
      <c r="J43" s="72"/>
      <c r="K43" s="73">
        <v>45813</v>
      </c>
      <c r="L43" s="73">
        <v>45843</v>
      </c>
      <c r="M43" s="73">
        <v>45874</v>
      </c>
      <c r="N43" s="125">
        <v>45905</v>
      </c>
      <c r="O43" s="73"/>
      <c r="P43" s="5"/>
      <c r="Q43" s="5"/>
      <c r="R43" s="5"/>
      <c r="S43" s="5"/>
      <c r="T43" s="5"/>
    </row>
    <row r="44" spans="1:20" s="74" customFormat="1" ht="24" customHeight="1" x14ac:dyDescent="0.25">
      <c r="A44" s="10" t="s">
        <v>54</v>
      </c>
      <c r="B44" s="5" t="s">
        <v>2</v>
      </c>
      <c r="C44" s="75">
        <v>3591</v>
      </c>
      <c r="D44" s="68">
        <v>45769</v>
      </c>
      <c r="E44" s="76">
        <v>5000</v>
      </c>
      <c r="F44" s="12">
        <v>5</v>
      </c>
      <c r="G44" s="54">
        <f>E44/F44</f>
        <v>1000</v>
      </c>
      <c r="H44" s="71">
        <v>45782</v>
      </c>
      <c r="I44" s="71">
        <v>45905</v>
      </c>
      <c r="J44" s="72"/>
      <c r="K44" s="73">
        <v>45417</v>
      </c>
      <c r="L44" s="73">
        <v>45813</v>
      </c>
      <c r="M44" s="73">
        <v>45843</v>
      </c>
      <c r="N44" s="73">
        <v>45874</v>
      </c>
      <c r="O44" s="125">
        <v>45905</v>
      </c>
      <c r="P44" s="5"/>
      <c r="Q44" s="5"/>
      <c r="R44" s="5"/>
      <c r="S44" s="5"/>
      <c r="T44" s="5"/>
    </row>
    <row r="45" spans="1:20" s="74" customFormat="1" ht="30" customHeight="1" x14ac:dyDescent="0.25">
      <c r="A45" s="10" t="s">
        <v>16</v>
      </c>
      <c r="B45" s="133" t="s">
        <v>2</v>
      </c>
      <c r="C45" s="84">
        <v>2029</v>
      </c>
      <c r="D45" s="14">
        <v>45813</v>
      </c>
      <c r="E45" s="70">
        <v>2000</v>
      </c>
      <c r="F45" s="12">
        <v>4</v>
      </c>
      <c r="G45" s="54">
        <f>E45/F45</f>
        <v>500</v>
      </c>
      <c r="H45" s="71">
        <v>45843</v>
      </c>
      <c r="I45" s="71">
        <v>45935</v>
      </c>
      <c r="J45" s="72"/>
      <c r="K45" s="73">
        <v>45843</v>
      </c>
      <c r="L45" s="73">
        <v>45874</v>
      </c>
      <c r="M45" s="73">
        <v>45905</v>
      </c>
      <c r="N45" s="127">
        <v>45935</v>
      </c>
      <c r="O45" s="73"/>
      <c r="P45" s="5"/>
      <c r="Q45" s="5"/>
      <c r="R45" s="5"/>
      <c r="S45" s="5"/>
      <c r="T45" s="5"/>
    </row>
    <row r="46" spans="1:20" s="74" customFormat="1" ht="30" customHeight="1" x14ac:dyDescent="0.25">
      <c r="A46" s="72" t="s">
        <v>1</v>
      </c>
      <c r="B46" s="5" t="s">
        <v>2</v>
      </c>
      <c r="C46" s="80">
        <v>2762</v>
      </c>
      <c r="D46" s="59">
        <v>45785</v>
      </c>
      <c r="E46" s="76">
        <v>2500</v>
      </c>
      <c r="F46" s="12">
        <v>5</v>
      </c>
      <c r="G46" s="54">
        <f>E46/F46</f>
        <v>500</v>
      </c>
      <c r="H46" s="81">
        <v>45813</v>
      </c>
      <c r="I46" s="81">
        <v>45935</v>
      </c>
      <c r="J46" s="5"/>
      <c r="K46" s="73">
        <v>45813</v>
      </c>
      <c r="L46" s="73">
        <v>45843</v>
      </c>
      <c r="M46" s="73">
        <v>45874</v>
      </c>
      <c r="N46" s="73">
        <v>45905</v>
      </c>
      <c r="O46" s="127">
        <v>45935</v>
      </c>
      <c r="P46" s="5"/>
      <c r="Q46" s="5"/>
      <c r="R46" s="5"/>
      <c r="S46" s="5"/>
      <c r="T46" s="5"/>
    </row>
    <row r="47" spans="1:20" s="74" customFormat="1" ht="30" customHeight="1" x14ac:dyDescent="0.25">
      <c r="A47" s="129" t="s">
        <v>63</v>
      </c>
      <c r="B47" s="130" t="s">
        <v>65</v>
      </c>
      <c r="C47" s="69">
        <v>3700</v>
      </c>
      <c r="D47" s="59">
        <v>45834</v>
      </c>
      <c r="E47" s="76">
        <v>4000</v>
      </c>
      <c r="F47" s="6">
        <v>4</v>
      </c>
      <c r="G47" s="54">
        <v>1000</v>
      </c>
      <c r="H47" s="71">
        <v>45843</v>
      </c>
      <c r="I47" s="71">
        <v>45935</v>
      </c>
      <c r="J47" s="79"/>
      <c r="K47" s="73">
        <v>45905</v>
      </c>
      <c r="L47" s="73">
        <v>45935</v>
      </c>
      <c r="M47" s="73"/>
      <c r="N47" s="73"/>
      <c r="O47" s="73"/>
      <c r="P47" s="73"/>
      <c r="Q47" s="73"/>
      <c r="R47" s="73"/>
      <c r="S47" s="73"/>
      <c r="T47" s="78"/>
    </row>
    <row r="48" spans="1:20" s="74" customFormat="1" ht="30" customHeight="1" x14ac:dyDescent="0.25">
      <c r="A48" s="126" t="s">
        <v>59</v>
      </c>
      <c r="B48" s="131" t="s">
        <v>65</v>
      </c>
      <c r="C48" s="69">
        <v>2600</v>
      </c>
      <c r="D48" s="59">
        <v>45724</v>
      </c>
      <c r="E48" s="70">
        <v>2000</v>
      </c>
      <c r="F48" s="6">
        <v>0</v>
      </c>
      <c r="G48" s="54">
        <v>0</v>
      </c>
      <c r="H48" s="67" t="s">
        <v>52</v>
      </c>
      <c r="I48" s="67" t="s">
        <v>52</v>
      </c>
      <c r="J48" s="128" t="s">
        <v>51</v>
      </c>
      <c r="K48" s="134" t="s">
        <v>69</v>
      </c>
      <c r="L48" s="135"/>
      <c r="M48" s="135"/>
      <c r="N48" s="135"/>
      <c r="O48" s="73"/>
      <c r="P48" s="73"/>
      <c r="Q48" s="6"/>
      <c r="R48" s="73"/>
      <c r="S48" s="73"/>
      <c r="T48" s="78"/>
    </row>
    <row r="49" spans="1:20" s="74" customFormat="1" ht="30" customHeight="1" x14ac:dyDescent="0.25">
      <c r="A49" s="10" t="s">
        <v>3</v>
      </c>
      <c r="B49" s="132" t="s">
        <v>2</v>
      </c>
      <c r="C49" s="69">
        <v>3158</v>
      </c>
      <c r="D49" s="59">
        <v>45859</v>
      </c>
      <c r="E49" s="70">
        <v>2000</v>
      </c>
      <c r="F49" s="6">
        <v>4</v>
      </c>
      <c r="G49" s="54">
        <f>E49/F49</f>
        <v>500</v>
      </c>
      <c r="H49" s="71">
        <v>45874</v>
      </c>
      <c r="I49" s="71">
        <v>45966</v>
      </c>
      <c r="J49" s="79"/>
      <c r="K49" s="73">
        <v>45874</v>
      </c>
      <c r="L49" s="73">
        <v>45905</v>
      </c>
      <c r="M49" s="73">
        <v>45935</v>
      </c>
      <c r="N49" s="73">
        <v>45966</v>
      </c>
      <c r="O49" s="73"/>
      <c r="P49" s="73"/>
      <c r="Q49" s="73"/>
      <c r="R49" s="73"/>
      <c r="S49" s="73"/>
      <c r="T49" s="73"/>
    </row>
    <row r="50" spans="1:20" s="223" customFormat="1" ht="30" customHeight="1" x14ac:dyDescent="0.25">
      <c r="A50" s="212" t="s">
        <v>78</v>
      </c>
      <c r="B50" s="213" t="s">
        <v>79</v>
      </c>
      <c r="C50" s="214">
        <v>2800</v>
      </c>
      <c r="D50" s="215">
        <v>45939</v>
      </c>
      <c r="E50" s="216">
        <v>800</v>
      </c>
      <c r="F50" s="217">
        <v>2</v>
      </c>
      <c r="G50" s="218">
        <f>E50/F50</f>
        <v>400</v>
      </c>
      <c r="H50" s="219">
        <v>45966</v>
      </c>
      <c r="I50" s="219">
        <v>45996</v>
      </c>
      <c r="J50" s="220"/>
      <c r="K50" s="221">
        <v>45966</v>
      </c>
      <c r="L50" s="222">
        <v>45996</v>
      </c>
      <c r="M50" s="221"/>
      <c r="N50" s="221"/>
      <c r="O50" s="221"/>
      <c r="P50" s="217"/>
      <c r="Q50" s="217"/>
      <c r="R50" s="217"/>
      <c r="S50" s="217"/>
      <c r="T50" s="217"/>
    </row>
    <row r="51" spans="1:20" s="223" customFormat="1" ht="30" customHeight="1" x14ac:dyDescent="0.25">
      <c r="A51" s="224" t="s">
        <v>64</v>
      </c>
      <c r="B51" s="225" t="s">
        <v>65</v>
      </c>
      <c r="C51" s="226">
        <v>5000</v>
      </c>
      <c r="D51" s="227">
        <v>45822</v>
      </c>
      <c r="E51" s="228">
        <v>6000</v>
      </c>
      <c r="F51" s="229">
        <v>6</v>
      </c>
      <c r="G51" s="230">
        <v>1000</v>
      </c>
      <c r="H51" s="219">
        <v>45843</v>
      </c>
      <c r="I51" s="219">
        <v>45996</v>
      </c>
      <c r="J51" s="231"/>
      <c r="K51" s="221">
        <v>45905</v>
      </c>
      <c r="L51" s="221">
        <v>45935</v>
      </c>
      <c r="M51" s="221">
        <v>45966</v>
      </c>
      <c r="N51" s="222">
        <v>45996</v>
      </c>
      <c r="O51" s="221"/>
      <c r="P51" s="221"/>
      <c r="Q51" s="221"/>
      <c r="R51" s="221"/>
      <c r="S51" s="221"/>
      <c r="T51" s="232"/>
    </row>
    <row r="52" spans="1:20" s="223" customFormat="1" ht="30" customHeight="1" x14ac:dyDescent="0.25">
      <c r="A52" s="233" t="s">
        <v>56</v>
      </c>
      <c r="B52" s="234" t="s">
        <v>2</v>
      </c>
      <c r="C52" s="226">
        <v>4575</v>
      </c>
      <c r="D52" s="227">
        <v>45800</v>
      </c>
      <c r="E52" s="235">
        <v>6000</v>
      </c>
      <c r="F52" s="229">
        <v>6</v>
      </c>
      <c r="G52" s="230">
        <f>E52/F52</f>
        <v>1000</v>
      </c>
      <c r="H52" s="219">
        <v>45843</v>
      </c>
      <c r="I52" s="219">
        <v>45996</v>
      </c>
      <c r="J52" s="220"/>
      <c r="K52" s="221">
        <v>45843</v>
      </c>
      <c r="L52" s="221">
        <v>45874</v>
      </c>
      <c r="M52" s="221">
        <v>45905</v>
      </c>
      <c r="N52" s="221">
        <v>45935</v>
      </c>
      <c r="O52" s="221">
        <v>45966</v>
      </c>
      <c r="P52" s="222">
        <v>45996</v>
      </c>
      <c r="Q52" s="221"/>
      <c r="R52" s="221"/>
      <c r="S52" s="221"/>
      <c r="T52" s="221"/>
    </row>
    <row r="53" spans="1:20" s="223" customFormat="1" ht="30" customHeight="1" x14ac:dyDescent="0.25">
      <c r="A53" s="236" t="s">
        <v>57</v>
      </c>
      <c r="B53" s="237" t="s">
        <v>2</v>
      </c>
      <c r="C53" s="238">
        <v>2800</v>
      </c>
      <c r="D53" s="215">
        <v>45843</v>
      </c>
      <c r="E53" s="228">
        <v>1000</v>
      </c>
      <c r="F53" s="217">
        <v>5</v>
      </c>
      <c r="G53" s="230">
        <v>200</v>
      </c>
      <c r="H53" s="219">
        <v>45874</v>
      </c>
      <c r="I53" s="219">
        <v>45996</v>
      </c>
      <c r="J53" s="220"/>
      <c r="K53" s="221">
        <v>45874</v>
      </c>
      <c r="L53" s="221">
        <v>45905</v>
      </c>
      <c r="M53" s="221">
        <v>45935</v>
      </c>
      <c r="N53" s="221">
        <v>45966</v>
      </c>
      <c r="O53" s="222">
        <v>45996</v>
      </c>
      <c r="P53" s="229"/>
      <c r="Q53" s="229"/>
      <c r="R53" s="229"/>
      <c r="S53" s="229"/>
      <c r="T53" s="229"/>
    </row>
    <row r="54" spans="1:20" s="223" customFormat="1" ht="30" customHeight="1" x14ac:dyDescent="0.25">
      <c r="A54" s="220" t="s">
        <v>48</v>
      </c>
      <c r="B54" s="239" t="s">
        <v>20</v>
      </c>
      <c r="C54" s="240">
        <v>3850</v>
      </c>
      <c r="D54" s="241">
        <v>45810</v>
      </c>
      <c r="E54" s="216">
        <v>3000</v>
      </c>
      <c r="F54" s="229">
        <v>6</v>
      </c>
      <c r="G54" s="218">
        <f>E54/F54</f>
        <v>500</v>
      </c>
      <c r="H54" s="219">
        <v>45843</v>
      </c>
      <c r="I54" s="219">
        <v>45996</v>
      </c>
      <c r="J54" s="220"/>
      <c r="K54" s="221">
        <v>45843</v>
      </c>
      <c r="L54" s="221">
        <v>45874</v>
      </c>
      <c r="M54" s="221">
        <v>45905</v>
      </c>
      <c r="N54" s="221">
        <v>45935</v>
      </c>
      <c r="O54" s="221">
        <v>45966</v>
      </c>
      <c r="P54" s="222">
        <v>45996</v>
      </c>
      <c r="Q54" s="229"/>
      <c r="R54" s="229"/>
      <c r="S54" s="229"/>
      <c r="T54" s="229"/>
    </row>
    <row r="55" spans="1:20" s="223" customFormat="1" ht="30" customHeight="1" x14ac:dyDescent="0.25">
      <c r="A55" s="242" t="s">
        <v>66</v>
      </c>
      <c r="B55" s="243" t="s">
        <v>5</v>
      </c>
      <c r="C55" s="214">
        <v>2900</v>
      </c>
      <c r="D55" s="215">
        <v>45707</v>
      </c>
      <c r="E55" s="216">
        <v>1200</v>
      </c>
      <c r="F55" s="217">
        <v>3</v>
      </c>
      <c r="G55" s="218">
        <f>E55/F55</f>
        <v>400</v>
      </c>
      <c r="H55" s="219">
        <v>45935</v>
      </c>
      <c r="I55" s="219">
        <v>45996</v>
      </c>
      <c r="J55" s="220"/>
      <c r="K55" s="221">
        <v>45935</v>
      </c>
      <c r="L55" s="221">
        <v>45966</v>
      </c>
      <c r="M55" s="244">
        <v>45996</v>
      </c>
      <c r="N55" s="229"/>
      <c r="O55" s="229"/>
      <c r="P55" s="229"/>
      <c r="Q55" s="229"/>
      <c r="R55" s="229"/>
      <c r="S55" s="229"/>
      <c r="T55" s="217"/>
    </row>
    <row r="56" spans="1:20" s="256" customFormat="1" ht="30" customHeight="1" x14ac:dyDescent="0.25">
      <c r="A56" s="245" t="s">
        <v>85</v>
      </c>
      <c r="B56" s="246" t="s">
        <v>86</v>
      </c>
      <c r="C56" s="247">
        <v>3000</v>
      </c>
      <c r="D56" s="248">
        <v>43740</v>
      </c>
      <c r="E56" s="249">
        <v>1000</v>
      </c>
      <c r="F56" s="250">
        <v>2</v>
      </c>
      <c r="G56" s="251">
        <f>E56/F56</f>
        <v>500</v>
      </c>
      <c r="H56" s="252">
        <v>45996</v>
      </c>
      <c r="I56" s="252">
        <v>46027</v>
      </c>
      <c r="J56" s="253"/>
      <c r="K56" s="254">
        <v>45966</v>
      </c>
      <c r="L56" s="244">
        <v>45996</v>
      </c>
      <c r="M56" s="254"/>
      <c r="N56" s="254"/>
      <c r="O56" s="254"/>
      <c r="P56" s="255"/>
      <c r="Q56" s="255"/>
      <c r="R56" s="255"/>
      <c r="S56" s="255"/>
      <c r="T56" s="250"/>
    </row>
    <row r="57" spans="1:20" s="256" customFormat="1" ht="30" customHeight="1" x14ac:dyDescent="0.25">
      <c r="A57" s="257" t="s">
        <v>63</v>
      </c>
      <c r="B57" s="258" t="s">
        <v>77</v>
      </c>
      <c r="C57" s="247">
        <v>3700</v>
      </c>
      <c r="D57" s="248">
        <v>45934</v>
      </c>
      <c r="E57" s="249">
        <v>1200</v>
      </c>
      <c r="F57" s="250">
        <v>2</v>
      </c>
      <c r="G57" s="251">
        <f>E57/F57</f>
        <v>600</v>
      </c>
      <c r="H57" s="252">
        <v>45966</v>
      </c>
      <c r="I57" s="252">
        <v>45996</v>
      </c>
      <c r="J57" s="253"/>
      <c r="K57" s="254">
        <v>45966</v>
      </c>
      <c r="L57" s="244">
        <v>45996</v>
      </c>
      <c r="M57" s="254"/>
      <c r="N57" s="254"/>
      <c r="O57" s="254"/>
      <c r="P57" s="255"/>
      <c r="Q57" s="255"/>
      <c r="R57" s="255"/>
      <c r="S57" s="255"/>
      <c r="T57" s="250"/>
    </row>
    <row r="58" spans="1:20" s="272" customFormat="1" ht="30" customHeight="1" thickBot="1" x14ac:dyDescent="0.3">
      <c r="A58" s="261" t="s">
        <v>48</v>
      </c>
      <c r="B58" s="262" t="s">
        <v>20</v>
      </c>
      <c r="C58" s="263">
        <v>3950</v>
      </c>
      <c r="D58" s="264">
        <v>45894</v>
      </c>
      <c r="E58" s="265">
        <v>3800</v>
      </c>
      <c r="F58" s="266">
        <v>0</v>
      </c>
      <c r="G58" s="267">
        <v>0</v>
      </c>
      <c r="H58" s="268" t="s">
        <v>52</v>
      </c>
      <c r="I58" s="268" t="s">
        <v>52</v>
      </c>
      <c r="J58" s="269" t="s">
        <v>89</v>
      </c>
      <c r="K58" s="270"/>
      <c r="L58" s="270"/>
      <c r="M58" s="271"/>
      <c r="N58" s="271"/>
      <c r="O58" s="271"/>
      <c r="P58" s="271"/>
      <c r="Q58" s="266"/>
      <c r="R58" s="266"/>
      <c r="S58" s="266"/>
      <c r="T58" s="266"/>
    </row>
    <row r="59" spans="1:20" s="52" customFormat="1" ht="33.75" customHeight="1" thickBot="1" x14ac:dyDescent="0.3">
      <c r="E59" s="53">
        <f>SUM(E7:E58)</f>
        <v>139100</v>
      </c>
      <c r="F59" s="53"/>
      <c r="G59" s="53">
        <f>SUM(G7:G58)</f>
        <v>29832</v>
      </c>
    </row>
  </sheetData>
  <autoFilter ref="A6:T6" xr:uid="{F6F718CA-E000-4BD1-98FE-08A09214D368}">
    <sortState xmlns:xlrd2="http://schemas.microsoft.com/office/spreadsheetml/2017/richdata2" ref="A7:T36">
      <sortCondition ref="A6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EMPRESTIMO</vt:lpstr>
      <vt:lpstr>Emprestimo Encerrado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rh.tennesseeprime@gmail.com</dc:creator>
  <cp:lastModifiedBy>RECURSOS HUMANOS</cp:lastModifiedBy>
  <cp:lastPrinted>2025-11-15T15:38:31Z</cp:lastPrinted>
  <dcterms:created xsi:type="dcterms:W3CDTF">2024-05-29T15:43:27Z</dcterms:created>
  <dcterms:modified xsi:type="dcterms:W3CDTF">2025-12-30T15:00:34Z</dcterms:modified>
</cp:coreProperties>
</file>